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Vendor Profile" sheetId="2" state="visible" r:id="rId4"/>
    <sheet name="Questionnaire" sheetId="3" state="visible" r:id="rId5"/>
    <sheet name="Scoring Summary" sheetId="4" state="visible" r:id="rId6"/>
    <sheet name="Red Fla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<sst xmlns="http://schemas.openxmlformats.org/spreadsheetml/2006/main" count="434" uniqueCount="281">
  <si>
    <t xml:space="preserve">Third-Party AI Vendor Risk Assessment Questionnaire</t>
  </si>
  <si>
    <t xml:space="preserve">Northstar FinTech Services Pvt. Ltd. (fictional organization, for portfolio purposes)</t>
  </si>
  <si>
    <t xml:space="preserve">Purpose</t>
  </si>
  <si>
    <t xml:space="preserve">This questionnaire is used to evaluate a third-party AI or AI-agent vendor before enterprise adoption, per Section 11 of Northstar's Responsible AI Policy (see Project 3 of this portfolio). It is framed as the questions an AI governance professional would ask when evaluating an AI/agent vendor -- it does not represent official requirements of any specific vendor.</t>
  </si>
  <si>
    <t xml:space="preserve">Where relevant, Sections K and L draw on general AI-agent governance concepts (permission scoping, prompt-injection defense, data-handling guardrails) consistent with publicly documented approaches such as Salesforce's Einstein Trust Layer for Agentforce -- used as an illustrative reference point, not a claim that Salesforce requires or endorses this questionnaire. Sections K and L are asked as separate questions deliberately: the real, patched 'ForcedLeak' vulnerability disclosed in Salesforce Agentforce (Noma Security, September 2025, CVSS 9.4) was not a failure of prompt-injection detection -- it succeeded because the agent had broader permissions and looser egress restrictions than it needed. A vendor can score well on prompt-injection defense (Section L) and still be exploitable on permission scope (Section K).</t>
  </si>
  <si>
    <t xml:space="preserve">How to use this workbook</t>
  </si>
  <si>
    <t xml:space="preserve">1.  Fill in the 'Vendor Profile' tab first.</t>
  </si>
  <si>
    <t xml:space="preserve">2.  Work through 'Questionnaire' -- record the vendor's response and whether they provided verifiable evidence (not just an assertion) for each question. Yellow cells are for your input.</t>
  </si>
  <si>
    <t xml:space="preserve">3.  On 'Scoring Summary', assign each of the 20 sections a gap-severity rating: Critical / High / Medium / Low / N/A. Base this on the completeness and verifiability of evidence provided, not just whether the vendor answered.</t>
  </si>
  <si>
    <t xml:space="preserve">4.  The Overall Rating and Final Decision calculate automatically using a 'worst-of' methodology: the overall rating is the single most severe section rating, not an average. A severe gap in one section is never averaged away by strong performance elsewhere.</t>
  </si>
  <si>
    <t xml:space="preserve">5.  Check 'Red Flags' -- if any apply, escalate to the AI Governance Committee regardless of the computed overall score.</t>
  </si>
  <si>
    <t xml:space="preserve">Final Decision bands</t>
  </si>
  <si>
    <t xml:space="preserve">Approved -- Low overall rating; standard procurement process applies.</t>
  </si>
  <si>
    <t xml:space="preserve">Approved with Conditions -- Medium overall rating; documented follow-up items with an assigned owner and review date.</t>
  </si>
  <si>
    <t xml:space="preserve">Further Due Diligence Required -- High overall rating; AI Governance Committee review required before any deployment decision.</t>
  </si>
  <si>
    <t xml:space="preserve">Further Due Diligence Required (Critical) -- Critical overall rating; AI Governance Committee review mandatory; becomes Rejected if unresolved after follow-up.</t>
  </si>
  <si>
    <t xml:space="preserve">Limitations</t>
  </si>
  <si>
    <t xml:space="preserve">This questionnaire is a screening tool; a satisfactory response to each question does not eliminate risk, and does not replace Northstar's own testing described in Project 2 of this portfolio. This document is illustrative, built for a fictional organization. Regulatory questions (Section S) require review by Northstar's Legal/Compliance function; this questionnaire does not constitute legal advice.</t>
  </si>
  <si>
    <t xml:space="preserve">Field</t>
  </si>
  <si>
    <t xml:space="preserve">Entry</t>
  </si>
  <si>
    <t xml:space="preserve">Vendor / Product Name</t>
  </si>
  <si>
    <t xml:space="preserve">CloudAgent Technologies Inc. -- "Aria" Customer Support Agent (fictional)</t>
  </si>
  <si>
    <t xml:space="preserve">AI System(s) Being Evaluated</t>
  </si>
  <si>
    <t xml:space="preserve">Aria conversational agent, built on a licensed third-party foundation model (vendor-hosted); customer support + account-query use case</t>
  </si>
  <si>
    <t xml:space="preserve">Business Use Case at Northstar</t>
  </si>
  <si>
    <t xml:space="preserve">Customer-service agent evaluated as a potential replacement/upgrade for the internally-scoped agent assessed in Project 2 of this portfolio</t>
  </si>
  <si>
    <t xml:space="preserve">Assessment Date</t>
  </si>
  <si>
    <t xml:space="preserve">12 September 2026</t>
  </si>
  <si>
    <t xml:space="preserve">Assessor Name</t>
  </si>
  <si>
    <t xml:space="preserve">Nisarg Kamble (AI Risk function, illustrative)</t>
  </si>
  <si>
    <t xml:space="preserve">Business Owner (Northstar)</t>
  </si>
  <si>
    <t xml:space="preserve">Head of Customer Experience (see Project 3, Section 4)</t>
  </si>
  <si>
    <t xml:space="preserve">AI Risk Owner (Northstar)</t>
  </si>
  <si>
    <t xml:space="preserve">AI Risk Owner, Risk function (see Project 3, Section 4)</t>
  </si>
  <si>
    <t xml:space="preserve">Northstar Risk Tier (per Project 3, Section 5)</t>
  </si>
  <si>
    <t xml:space="preserve">Moderate-High (customer-facing, no transaction authority, informational only)</t>
  </si>
  <si>
    <t xml:space="preserve">Vendor Primary Contact</t>
  </si>
  <si>
    <t xml:space="preserve">VP, Enterprise Trust &amp; Compliance, CloudAgent Technologies Inc. (fictional)</t>
  </si>
  <si>
    <t xml:space="preserve">Example (for format reference only -- delete before use):</t>
  </si>
  <si>
    <t xml:space="preserve">CloudAgent Technologies Inc. -- 'Aria' Customer Support Agent (fictional)</t>
  </si>
  <si>
    <t xml:space="preserve">#</t>
  </si>
  <si>
    <t xml:space="preserve">Section</t>
  </si>
  <si>
    <t xml:space="preserve">Q#</t>
  </si>
  <si>
    <t xml:space="preserve">Question</t>
  </si>
  <si>
    <t xml:space="preserve">Vendor Response</t>
  </si>
  <si>
    <t xml:space="preserve">Evidence Provided? (Y/N)</t>
  </si>
  <si>
    <t xml:space="preserve">Notes</t>
  </si>
  <si>
    <t xml:space="preserve">A</t>
  </si>
  <si>
    <t xml:space="preserve">Governance &amp; Accountability</t>
  </si>
  <si>
    <t xml:space="preserve">Does the vendor have a named executive or role accountable for AI governance/ethics?</t>
  </si>
  <si>
    <t xml:space="preserve">Yes -- a named Chief Trust Officer owns AI governance across the product line.</t>
  </si>
  <si>
    <t xml:space="preserve">Y</t>
  </si>
  <si>
    <t xml:space="preserve">Does the vendor maintain a documented, published AI governance policy or responsible-AI framework?</t>
  </si>
  <si>
    <t xml:space="preserve">Published Responsible AI Framework available on vendor's trust portal.</t>
  </si>
  <si>
    <t xml:space="preserve">Does the vendor have an internal review/approval process before releasing new AI features or model changes?</t>
  </si>
  <si>
    <t xml:space="preserve">Internal Model Release Board reviews all feature/model changes pre-release; process described but not independently audited.</t>
  </si>
  <si>
    <t xml:space="preserve">Partial</t>
  </si>
  <si>
    <t xml:space="preserve">B</t>
  </si>
  <si>
    <t xml:space="preserve">AI System Description</t>
  </si>
  <si>
    <t xml:space="preserve">Describe the AI system/model(s) used (foundation model, fine-tuned, proprietary) and the underlying model provider(s).</t>
  </si>
  <si>
    <t xml:space="preserve">Built on a licensed third-party foundation model, fine-tuned on vendor's support-conversation dataset.</t>
  </si>
  <si>
    <t xml:space="preserve">What is the documented intended use case and scope of the system?</t>
  </si>
  <si>
    <t xml:space="preserve">Documented as customer-support Q&amp;A and account-status lookups; scope stated in product docs.</t>
  </si>
  <si>
    <t xml:space="preserve">Are known limitations or documented failure modes disclosed to customers?</t>
  </si>
  <si>
    <t xml:space="preserve">Model card lists known limitations (multi-turn context loss after 20 turns, non-English accuracy gaps).</t>
  </si>
  <si>
    <t xml:space="preserve">C</t>
  </si>
  <si>
    <t xml:space="preserve">Data Governance</t>
  </si>
  <si>
    <t xml:space="preserve">What data does the system require access to, and is access scoped to only what is functionally required?</t>
  </si>
  <si>
    <t xml:space="preserve">Data access is role- and field-scoped per customer configuration; default template grants broader access than Northstar's use case needs.</t>
  </si>
  <si>
    <t xml:space="preserve">Is the provenance of training/reference data documented and available on request?</t>
  </si>
  <si>
    <t xml:space="preserve">Training data provenance documented at a high level; full dataset lineage not disclosed (proprietary).</t>
  </si>
  <si>
    <t xml:space="preserve">Is customer data used to train models serving other customers? If so, under what contractual basis?</t>
  </si>
  <si>
    <t xml:space="preserve">Contractually, customer conversation data is not used for cross-customer training by default; opt-in only.</t>
  </si>
  <si>
    <t xml:space="preserve">D</t>
  </si>
  <si>
    <t xml:space="preserve">Privacy</t>
  </si>
  <si>
    <t xml:space="preserve">Does the vendor comply with applicable data protection law (e.g., India's DPDP Act, GDPR) in the relevant jurisdictions?</t>
  </si>
  <si>
    <t xml:space="preserve">Vendor states GDPR compliance; DPDP Act compliance not yet formally assessed by vendor's own admission.</t>
  </si>
  <si>
    <t xml:space="preserve">Where is customer data geographically processed and stored?</t>
  </si>
  <si>
    <t xml:space="preserve">Primary processing in US and EU regions; no India data-residency option currently offered.</t>
  </si>
  <si>
    <t xml:space="preserve">Does the vendor offer a Data Processing Agreement (DPA) covering the AI service specifically?</t>
  </si>
  <si>
    <t xml:space="preserve">Standard DPA available, reviewed by Northstar Legal as a parallel workstream.</t>
  </si>
  <si>
    <t xml:space="preserve">E</t>
  </si>
  <si>
    <t xml:space="preserve">Security</t>
  </si>
  <si>
    <t xml:space="preserve">Does the vendor hold current, verifiable security certifications (e.g., SOC 2, ISO 27001)?</t>
  </si>
  <si>
    <t xml:space="preserve">SOC 2 Type II report available under NDA; ISO/IEC 42001 certification in progress, not yet achieved.</t>
  </si>
  <si>
    <t xml:space="preserve">Is customer data encrypted in transit and at rest?</t>
  </si>
  <si>
    <t xml:space="preserve">TLS 1.2+ in transit; AES-256 at rest, per SOC 2 report.</t>
  </si>
  <si>
    <t xml:space="preserve">Does the vendor run a vulnerability disclosure program or regular independent penetration testing?</t>
  </si>
  <si>
    <t xml:space="preserve">Public vulnerability disclosure program exists; no evidence of recent independent pen-test summary shared.</t>
  </si>
  <si>
    <t xml:space="preserve">F</t>
  </si>
  <si>
    <t xml:space="preserve">AI Safety</t>
  </si>
  <si>
    <t xml:space="preserve">What testing is performed for harmful, toxic, or unsafe outputs before release?</t>
  </si>
  <si>
    <t xml:space="preserve">Automated toxicity/harm classifier on outputs before delivery, per vendor documentation.</t>
  </si>
  <si>
    <t xml:space="preserve">Does the vendor have a documented incident-response process specific to AI safety failures?</t>
  </si>
  <si>
    <t xml:space="preserve">Incident-response runbook exists for safety failures; specific SLA not contractually committed.</t>
  </si>
  <si>
    <t xml:space="preserve">Are safety evaluations re-run when the underlying model is changed or updated?</t>
  </si>
  <si>
    <t xml:space="preserve">Vendor confirmed safety evals are re-run on underlying model version bumps; not independently verified.</t>
  </si>
  <si>
    <t xml:space="preserve">G</t>
  </si>
  <si>
    <t xml:space="preserve">Model Risk</t>
  </si>
  <si>
    <t xml:space="preserve">Is the underlying model versioned, and is version history available to customers?</t>
  </si>
  <si>
    <t xml:space="preserve">Model version pinned per contract tier; version-change log available to enterprise customers.</t>
  </si>
  <si>
    <t xml:space="preserve">What performance/accuracy benchmarks were used to validate the model, and are results shared with customers?</t>
  </si>
  <si>
    <t xml:space="preserve">Vendor shares aggregate accuracy benchmarks; full benchmark methodology not disclosed.</t>
  </si>
  <si>
    <t xml:space="preserve">Is there a defined process to detect and respond to model performance drift in production?</t>
  </si>
  <si>
    <t xml:space="preserve">Automated drift monitoring described; specific drift thresholds/alerts not shared with prospective customers pre-contract.</t>
  </si>
  <si>
    <t xml:space="preserve">N</t>
  </si>
  <si>
    <t xml:space="preserve">H</t>
  </si>
  <si>
    <t xml:space="preserve">Bias &amp; Fairness</t>
  </si>
  <si>
    <t xml:space="preserve">Has the vendor conducted or published bias/fairness testing across relevant demographic or customer subgroups?</t>
  </si>
  <si>
    <t xml:space="preserve">Vendor states internal bias testing is performed; results are not published or shared externally.</t>
  </si>
  <si>
    <t xml:space="preserve">Can the vendor provide disparate-impact or subgroup performance results, where available?</t>
  </si>
  <si>
    <t xml:space="preserve">No subgroup performance breakdown provided in this assessment cycle.</t>
  </si>
  <si>
    <t xml:space="preserve">Does the vendor have a defined process to investigate and remediate bias once discovered?</t>
  </si>
  <si>
    <t xml:space="preserve">Vendor describes a remediation process in general terms; no case examples provided.</t>
  </si>
  <si>
    <t xml:space="preserve">I</t>
  </si>
  <si>
    <t xml:space="preserve">Transparency &amp; Explainability</t>
  </si>
  <si>
    <t xml:space="preserve">Does the vendor provide a model card or system card describing capabilities, limitations, and testing history?</t>
  </si>
  <si>
    <t xml:space="preserve">Model/system card provided covering intended use, limitations, and testing summary.</t>
  </si>
  <si>
    <t xml:space="preserve">Can the vendor explain, at a general level, the basis for a given output (explainability, not full interpretability)?</t>
  </si>
  <si>
    <t xml:space="preserve">Vendor can describe general basis for an output (e.g., which knowledge-base article was retrieved).</t>
  </si>
  <si>
    <t xml:space="preserve">Are end users informed when they are interacting with an AI system rather than a human?</t>
  </si>
  <si>
    <t xml:space="preserve">Default agent greeting discloses AI identity; configurable but on by default.</t>
  </si>
  <si>
    <t xml:space="preserve">J</t>
  </si>
  <si>
    <t xml:space="preserve">Human Oversight</t>
  </si>
  <si>
    <t xml:space="preserve">Does the system support human review or override of AI-generated outputs before an action is taken?</t>
  </si>
  <si>
    <t xml:space="preserve">Escalation-to-human is a standard configurable workflow feature.</t>
  </si>
  <si>
    <t xml:space="preserve">Can a human intervene mid-process (e.g., pause or stop an in-progress agent action)?</t>
  </si>
  <si>
    <t xml:space="preserve">Mid-conversation human takeover supported via standard handoff API.</t>
  </si>
  <si>
    <t xml:space="preserve">Is there a documented escalation path for outputs the system itself flags as low-confidence?</t>
  </si>
  <si>
    <t xml:space="preserve">Low-confidence outputs are flagged internally; whether this auto-triggers escalation is configurable, not default-on.</t>
  </si>
  <si>
    <t xml:space="preserve">K</t>
  </si>
  <si>
    <t xml:space="preserve">AI Agent Permissions &amp; Autonomy</t>
  </si>
  <si>
    <t xml:space="preserve">What is the agent's permission scope -- read-only vs. read-write, and against which specific systems/data?</t>
  </si>
  <si>
    <t xml:space="preserve">Default permission template is broader than Northstar's use case requires (read access to full account record, not just balance/status fields); can be narrowed on request.</t>
  </si>
  <si>
    <t xml:space="preserve">Can permissions be scoped per use case, or are they granted all-or-nothing at the account level?</t>
  </si>
  <si>
    <t xml:space="preserve">Permission scoping is available but is a professional-services engagement, not a self-service default.</t>
  </si>
  <si>
    <t xml:space="preserve">What specific limits exist on external destinations (URLs, domains, APIs) the agent is permitted to send data to or call?</t>
  </si>
  <si>
    <t xml:space="preserve">Vendor could not provide a specific, documented allowlist mechanism for external destinations the agent may contact -- described egress control as 'standard network security,' not agent-specific.</t>
  </si>
  <si>
    <t xml:space="preserve">Can autonomous, high-consequence actions (e.g., initiating a transaction) be disabled or gated behind mandatory human approval?</t>
  </si>
  <si>
    <t xml:space="preserve">High-consequence actions are disabled by default for this use case (informational-only configuration confirmed).</t>
  </si>
  <si>
    <t xml:space="preserve">L</t>
  </si>
  <si>
    <t xml:space="preserve">Prompt Injection / Adversarial Risks</t>
  </si>
  <si>
    <t xml:space="preserve">What defenses exist against direct prompt injection (malicious instructions from the user)?</t>
  </si>
  <si>
    <t xml:space="preserve">Standard prompt-injection detection on direct user input, per vendor security documentation.</t>
  </si>
  <si>
    <t xml:space="preserve">What defenses exist against indirect prompt injection (malicious instructions embedded in data the agent later reads, e.g. a form field or document)?</t>
  </si>
  <si>
    <t xml:space="preserve">Vendor acknowledged indirect prompt injection (malicious content in retrieved documents/records) as an industry-wide open problem; no dedicated control beyond general input scanning.</t>
  </si>
  <si>
    <t xml:space="preserve">Has the vendor had any publicly disclosed prompt-injection vulnerabilities, and how were they remediated?</t>
  </si>
  <si>
    <t xml:space="preserve">No publicly disclosed prompt-injection incidents for this vendor to date, per available public information.</t>
  </si>
  <si>
    <t xml:space="preserve">M</t>
  </si>
  <si>
    <t xml:space="preserve">Monitoring &amp; Logging</t>
  </si>
  <si>
    <t xml:space="preserve">Are all agent/model actions logged with sufficient detail to reconstruct a disputed interaction?</t>
  </si>
  <si>
    <t xml:space="preserve">Full action logging available, exportable via API.</t>
  </si>
  <si>
    <t xml:space="preserve">Can the customer access logs of their own organization's usage independently?</t>
  </si>
  <si>
    <t xml:space="preserve">Customer-accessible log dashboard included in enterprise tier.</t>
  </si>
  <si>
    <t xml:space="preserve">What anomaly-detection or alerting exists for unusual agent behavior (e.g., abnormal request volume or scope)?</t>
  </si>
  <si>
    <t xml:space="preserve">Anomaly detection described as roadmap item, not yet generally available.</t>
  </si>
  <si>
    <t xml:space="preserve">Incident Management</t>
  </si>
  <si>
    <t xml:space="preserve">What is the vendor's committed incident-notification timeline once an incident affecting the customer is confirmed?</t>
  </si>
  <si>
    <t xml:space="preserve">Contractual SLA: incident notification within 48 hours of confirmation for enterprise tier.</t>
  </si>
  <si>
    <t xml:space="preserve">Is there a defined process for joint incident response between vendor and customer?</t>
  </si>
  <si>
    <t xml:space="preserve">Joint incident-response process outlined in enterprise MSA.</t>
  </si>
  <si>
    <t xml:space="preserve">Does the vendor share post-incident root-cause reports with affected customers?</t>
  </si>
  <si>
    <t xml:space="preserve">Vendor shares incident summaries with directly affected customers only, not published broadly.</t>
  </si>
  <si>
    <t xml:space="preserve">O</t>
  </si>
  <si>
    <t xml:space="preserve">Model Changes &amp; Version Management</t>
  </si>
  <si>
    <t xml:space="preserve">How are customers notified of material changes to the underlying model?</t>
  </si>
  <si>
    <t xml:space="preserve">Advance-notice email for material model changes; typical window is 30 days.</t>
  </si>
  <si>
    <t xml:space="preserve">Can the customer pin to a specific model version, or does the service always run 'latest'?</t>
  </si>
  <si>
    <t xml:space="preserve">Version pinning available on enterprise tier only.</t>
  </si>
  <si>
    <t xml:space="preserve">Are customers given advance notice and a testing window before a breaking or material change ships?</t>
  </si>
  <si>
    <t xml:space="preserve">Sandbox environment provided for pre-change testing on enterprise tier.</t>
  </si>
  <si>
    <t xml:space="preserve">P</t>
  </si>
  <si>
    <t xml:space="preserve">Subprocessors / Fourth Parties</t>
  </si>
  <si>
    <t xml:space="preserve">Does the vendor maintain and disclose a current subprocessor list on request?</t>
  </si>
  <si>
    <t xml:space="preserve">Subprocessor list published and updated quarterly on trust portal.</t>
  </si>
  <si>
    <t xml:space="preserve">Are subprocessors contractually bound to data-protection and security obligations equivalent to the vendor's own?</t>
  </si>
  <si>
    <t xml:space="preserve">Standard subprocessor addendum requires equivalent data-protection terms.</t>
  </si>
  <si>
    <t xml:space="preserve">Is the customer notified before a new subprocessor is added?</t>
  </si>
  <si>
    <t xml:space="preserve">30-day advance notice for new subprocessors, with objection right.</t>
  </si>
  <si>
    <t xml:space="preserve">Q</t>
  </si>
  <si>
    <t xml:space="preserve">Data Retention &amp; Deletion</t>
  </si>
  <si>
    <t xml:space="preserve">What is the default retention period for prompts, outputs, and interaction logs?</t>
  </si>
  <si>
    <t xml:space="preserve">Default retention: 90 days for logs, 13 months for aggregated analytics.</t>
  </si>
  <si>
    <t xml:space="preserve">Can the customer request deletion of their data on demand, ahead of the default retention period?</t>
  </si>
  <si>
    <t xml:space="preserve">On-demand deletion supported via API and support ticket.</t>
  </si>
  <si>
    <t xml:space="preserve">What happens to customer data upon contract termination, and within what timeframe?</t>
  </si>
  <si>
    <t xml:space="preserve">Full data deletion within 30 days of contract termination, per DPA.</t>
  </si>
  <si>
    <t xml:space="preserve">R</t>
  </si>
  <si>
    <t xml:space="preserve">Business Continuity</t>
  </si>
  <si>
    <t xml:space="preserve">Does the vendor maintain a documented business continuity / disaster recovery plan covering the AI service specifically?</t>
  </si>
  <si>
    <t xml:space="preserve">BC/DR plan referenced in SOC 2 report; AI-service-specific detail limited.</t>
  </si>
  <si>
    <t xml:space="preserve">What is the vendor's committed uptime/SLA for the service?</t>
  </si>
  <si>
    <t xml:space="preserve">99.9% uptime SLA (enterprise tier), with service credits.</t>
  </si>
  <si>
    <t xml:space="preserve">Is there a defined fallback (graceful degradation or manual process) if the AI service becomes unavailable?</t>
  </si>
  <si>
    <t xml:space="preserve">No documented graceful-degradation behavior if the AI service is unavailable (e.g., automatic handoff to legacy IVR).</t>
  </si>
  <si>
    <t xml:space="preserve">S</t>
  </si>
  <si>
    <t xml:space="preserve">Regulatory &amp; Contractual Compliance</t>
  </si>
  <si>
    <t xml:space="preserve">Can the vendor identify which regulations it considers this service subject to (e.g., DPDP Act, GDPR, EU AI Act)?</t>
  </si>
  <si>
    <t xml:space="preserve">Vendor named GDPR and CCPA; did not proactively name DPDP Act or EU AI Act applicability.</t>
  </si>
  <si>
    <t xml:space="preserve">Does the vendor's standard contract include customer audit rights?</t>
  </si>
  <si>
    <t xml:space="preserve">Audit rights included in enterprise-tier MSA only, not standard contract.</t>
  </si>
  <si>
    <t xml:space="preserve">Will the vendor commit to supporting Northstar's own regulatory obligations (e.g., providing information needed to respond to a DPDP data-principal request)?</t>
  </si>
  <si>
    <t xml:space="preserve">Vendor agreed in principle to support data-principal request fulfillment; not yet formalized contractually.</t>
  </si>
  <si>
    <t xml:space="preserve">T</t>
  </si>
  <si>
    <t xml:space="preserve">Assurance Evidence</t>
  </si>
  <si>
    <t xml:space="preserve">What third-party certifications does the vendor hold (e.g., ISO/IEC 42001:2023, SOC 2), and are current certificates available on request?</t>
  </si>
  <si>
    <t xml:space="preserve">SOC 2 Type II current; ISO/IEC 42001:2023 certification targeted for next fiscal year, not yet held.</t>
  </si>
  <si>
    <t xml:space="preserve">Has the vendor undergone an independent AI audit or red-team assessment? By whom, and when?</t>
  </si>
  <si>
    <t xml:space="preserve">No independent third-party AI audit or red-team assessment completed to date, per vendor disclosure.</t>
  </si>
  <si>
    <t xml:space="preserve">Can the vendor provide references from comparable regulated-industry customers?</t>
  </si>
  <si>
    <t xml:space="preserve">Two reference customers in adjacent regulated industries (insurance) provided on request.</t>
  </si>
  <si>
    <t xml:space="preserve">Gap Severity</t>
  </si>
  <si>
    <t xml:space="preserve">Score</t>
  </si>
  <si>
    <t xml:space="preserve">Notes / Rationale</t>
  </si>
  <si>
    <t xml:space="preserve">Severity</t>
  </si>
  <si>
    <t xml:space="preserve">Value</t>
  </si>
  <si>
    <t xml:space="preserve">A - Governance &amp; Accountability</t>
  </si>
  <si>
    <t xml:space="preserve">Low</t>
  </si>
  <si>
    <t xml:space="preserve">Governance structure is real and named; process not independently audited but no material gap found.</t>
  </si>
  <si>
    <t xml:space="preserve">N/A</t>
  </si>
  <si>
    <t xml:space="preserve">B - AI System Description</t>
  </si>
  <si>
    <t xml:space="preserve">System description and limitations well documented.</t>
  </si>
  <si>
    <t xml:space="preserve">C - Data Governance</t>
  </si>
  <si>
    <t xml:space="preserve">Medium</t>
  </si>
  <si>
    <t xml:space="preserve">Default access scope broader than needed for Northstar's use case; narrowing requires a non-default request.</t>
  </si>
  <si>
    <t xml:space="preserve">D - Privacy</t>
  </si>
  <si>
    <t xml:space="preserve">DPDP Act applicability not yet assessed by vendor; no India data-residency option -- needs Legal follow-up before go-live.</t>
  </si>
  <si>
    <t xml:space="preserve">High</t>
  </si>
  <si>
    <t xml:space="preserve">E - Security</t>
  </si>
  <si>
    <t xml:space="preserve">SOC 2 current; ISO 42001 in progress is a reasonable maturity signal, not a current gap.</t>
  </si>
  <si>
    <t xml:space="preserve">Critical</t>
  </si>
  <si>
    <t xml:space="preserve">F - AI Safety</t>
  </si>
  <si>
    <t xml:space="preserve">Safety process exists but key SLA/re-testing commitments are not contractual.</t>
  </si>
  <si>
    <t xml:space="preserve">G - Model Risk</t>
  </si>
  <si>
    <t xml:space="preserve">Benchmark transparency and drift-alert detail are thinner than ideal, though monitoring exists.</t>
  </si>
  <si>
    <t xml:space="preserve">H - Bias &amp; Fairness</t>
  </si>
  <si>
    <t xml:space="preserve">No shared bias/fairness testing results -- a real gap for a High-risk-adjacent customer-facing use case, though vendor claims internal testing occurs.</t>
  </si>
  <si>
    <t xml:space="preserve">I - Transparency &amp; Explainability</t>
  </si>
  <si>
    <t xml:space="preserve">Model card, explainability, and AI disclosure are all in place by default.</t>
  </si>
  <si>
    <t xml:space="preserve">J - Human Oversight</t>
  </si>
  <si>
    <t xml:space="preserve">Human oversight mechanisms are real and functional; auto-escalation on low confidence is configurable rather than default, a minor note.</t>
  </si>
  <si>
    <t xml:space="preserve">K - AI Agent Permissions &amp; Autonomy</t>
  </si>
  <si>
    <t xml:space="preserve">Default permissions are broader than needed and narrowing isn't self-service; most importantly, vendor could not describe a specific agent-level egress allowlist mechanism -- the same category of gap that enabled the real ForcedLeak incident at a different vendor (see 01_Research/reference_notes.md).</t>
  </si>
  <si>
    <t xml:space="preserve">L - Prompt Injection / Adversarial Risks</t>
  </si>
  <si>
    <t xml:space="preserve">Direct-injection defense is real; indirect-injection defense is acknowledged as an open industry problem rather than a solved one -- consistent with the current state of the field, but a residual risk to manage on Northstar's side too.</t>
  </si>
  <si>
    <t xml:space="preserve">M - Monitoring &amp; Logging</t>
  </si>
  <si>
    <t xml:space="preserve">Logging and customer log access are solid; anomaly detection is roadmap, not a current gap given logging depth.</t>
  </si>
  <si>
    <t xml:space="preserve">N - Incident Management</t>
  </si>
  <si>
    <t xml:space="preserve">48-hour notification SLA is workable but slower than Northstar's own 24-hour internal escalation target (Project 3, Section 10) -- a contractual mismatch to negotiate.</t>
  </si>
  <si>
    <t xml:space="preserve">O - Model Changes &amp; Version Management</t>
  </si>
  <si>
    <t xml:space="preserve">Version pinning and sandbox testing exist but are enterprise-tier gated -- confirm Northstar's contract tier includes these before relying on them.</t>
  </si>
  <si>
    <t xml:space="preserve">P - Subprocessors / Fourth Parties</t>
  </si>
  <si>
    <t xml:space="preserve">Subprocessor disclosure and notice process meet expectations.</t>
  </si>
  <si>
    <t xml:space="preserve">Q - Data Retention &amp; Deletion</t>
  </si>
  <si>
    <t xml:space="preserve">Retention and deletion terms are clear and acceptable.</t>
  </si>
  <si>
    <t xml:space="preserve">R - Business Continuity</t>
  </si>
  <si>
    <t xml:space="preserve">No documented graceful-degradation/fallback behavior if the AI service goes down -- operational risk for a customer-facing channel.</t>
  </si>
  <si>
    <t xml:space="preserve">S - Regulatory &amp; Contractual Compliance</t>
  </si>
  <si>
    <t xml:space="preserve">Vendor did not proactively identify DPDP Act as applicable; audit rights gated to enterprise tier -- needs Legal confirmation of contract tier and terms.</t>
  </si>
  <si>
    <t xml:space="preserve">T - Assurance Evidence</t>
  </si>
  <si>
    <t xml:space="preserve">No independent AI audit completed yet; SOC 2 alone is a security-process credential, not an AI-specific assurance credential.</t>
  </si>
  <si>
    <t xml:space="preserve">Overall Numeric Score (MAX across sections)</t>
  </si>
  <si>
    <t xml:space="preserve">Overall Rating (worst-of)</t>
  </si>
  <si>
    <t xml:space="preserve">Final Decision</t>
  </si>
  <si>
    <t xml:space="preserve">Assessor Commentary:</t>
  </si>
  <si>
    <t xml:space="preserve">Overall rating driven by Section K (Agent Permissions &amp; Autonomy). This is corroborated independently by Red Flag #5 (external-destination egress control), which is also triggered -- two separate parts of this questionnaire converging on the same underlying gap is a stronger signal than either alone, and is exactly the kind of pattern this questionnaire is designed to surface rather than let a vendor's strong scores elsewhere (Sections B, E, I, J, M, P, Q) mask it.</t>
  </si>
  <si>
    <t xml:space="preserve">Red Flags Requiring Escalation</t>
  </si>
  <si>
    <t xml:space="preserve">The following responses (or non-responses) should be escalated directly to the AI Governance Committee, regardless of the computed overall score in 'Scoring Summary'.</t>
  </si>
  <si>
    <t xml:space="preserve">Red Flag</t>
  </si>
  <si>
    <t xml:space="preserve">Present? (Y/N)</t>
  </si>
  <si>
    <t xml:space="preserve">Vendor cannot explain where customer data is geographically processed or stored.</t>
  </si>
  <si>
    <t xml:space="preserve">Vendor uses customer data to train models serving other customers without a clear contractual basis permitting this.</t>
  </si>
  <si>
    <t xml:space="preserve">Vendor cannot describe any logging or audit-trail capability for agent actions.</t>
  </si>
  <si>
    <t xml:space="preserve">Agent permissions are effectively unrestricted (full read-write access with no documented scope limitation).</t>
  </si>
  <si>
    <t xml:space="preserve">Vendor cannot describe specific limits on what external destinations (URLs/domains) an agent is permitted to send data to.</t>
  </si>
  <si>
    <t xml:space="preserve">Vendor has no defined incident-notification process or timeline.</t>
  </si>
  <si>
    <t xml:space="preserve">Vendor cannot explain how or when material model changes are communicated to customers.</t>
  </si>
  <si>
    <t xml:space="preserve">Vendor cannot commit to any data-deletion process upon contract termination.</t>
  </si>
  <si>
    <t xml:space="preserve">Subprocessors are undisclosed or the vendor declines to provide a subprocessor list.</t>
  </si>
  <si>
    <t xml:space="preserve">Note: the 'external destinations an agent is permitted to send data to' red flag (row 5 above) was added based on the real, patched ForcedLeak vulnerability in Salesforce Agentforce (Noma Security, Sept 2025) -- see 01_Research/reference_notes.md.</t>
  </si>
  <si>
    <t xml:space="preserve">Escalation Triggered?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</si>
</sst>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</row>
    <row r="3" customFormat="false" ht="18" hidden="false" customHeight="true" outlineLevel="0" collapsed="false">
      <c r="A3" s="3"/>
    </row>
    <row r="4" customFormat="false" ht="18" hidden="false" customHeight="true" outlineLevel="0" collapsed="false">
      <c r="A4" s="4" t="s">
        <v>2</v>
      </c>
    </row>
    <row r="5" customFormat="false" ht="45" hidden="false" customHeight="true" outlineLevel="0" collapsed="false">
      <c r="A5" s="3" t="s">
        <v>3</v>
      </c>
    </row>
    <row r="6" customFormat="false" ht="18" hidden="false" customHeight="true" outlineLevel="0" collapsed="false">
      <c r="A6" s="3"/>
    </row>
    <row r="7" customFormat="false" ht="45" hidden="false" customHeight="true" outlineLevel="0" collapsed="false">
      <c r="A7" s="3" t="s">
        <v>4</v>
      </c>
    </row>
    <row r="8" customFormat="false" ht="18" hidden="false" customHeight="true" outlineLevel="0" collapsed="false">
      <c r="A8" s="3"/>
    </row>
    <row r="9" customFormat="false" ht="18" hidden="false" customHeight="true" outlineLevel="0" collapsed="false">
      <c r="A9" s="4" t="s">
        <v>5</v>
      </c>
    </row>
    <row r="10" customFormat="false" ht="18" hidden="false" customHeight="true" outlineLevel="0" collapsed="false">
      <c r="A10" s="3" t="s">
        <v>6</v>
      </c>
    </row>
    <row r="11" customFormat="false" ht="45" hidden="false" customHeight="true" outlineLevel="0" collapsed="false">
      <c r="A11" s="3" t="s">
        <v>7</v>
      </c>
    </row>
    <row r="12" customFormat="false" ht="45" hidden="false" customHeight="true" outlineLevel="0" collapsed="false">
      <c r="A12" s="3" t="s">
        <v>8</v>
      </c>
    </row>
    <row r="13" customFormat="false" ht="45" hidden="false" customHeight="true" outlineLevel="0" collapsed="false">
      <c r="A13" s="3" t="s">
        <v>9</v>
      </c>
    </row>
    <row r="14" customFormat="false" ht="45" hidden="false" customHeight="true" outlineLevel="0" collapsed="false">
      <c r="A14" s="3" t="s">
        <v>10</v>
      </c>
    </row>
    <row r="15" customFormat="false" ht="18" hidden="false" customHeight="true" outlineLevel="0" collapsed="false">
      <c r="A15" s="3"/>
    </row>
    <row r="16" customFormat="false" ht="18" hidden="false" customHeight="true" outlineLevel="0" collapsed="false">
      <c r="A16" s="4" t="s">
        <v>11</v>
      </c>
    </row>
    <row r="17" customFormat="false" ht="18" hidden="false" customHeight="true" outlineLevel="0" collapsed="false">
      <c r="A17" s="3" t="s">
        <v>12</v>
      </c>
    </row>
    <row r="18" customFormat="false" ht="45" hidden="false" customHeight="true" outlineLevel="0" collapsed="false">
      <c r="A18" s="3" t="s">
        <v>13</v>
      </c>
    </row>
    <row r="19" customFormat="false" ht="45" hidden="false" customHeight="true" outlineLevel="0" collapsed="false">
      <c r="A19" s="3" t="s">
        <v>14</v>
      </c>
    </row>
    <row r="20" customFormat="false" ht="45" hidden="false" customHeight="true" outlineLevel="0" collapsed="false">
      <c r="A20" s="3" t="s">
        <v>15</v>
      </c>
    </row>
    <row r="21" customFormat="false" ht="18" hidden="false" customHeight="true" outlineLevel="0" collapsed="false">
      <c r="A21" s="3"/>
    </row>
    <row r="22" customFormat="false" ht="18" hidden="false" customHeight="true" outlineLevel="0" collapsed="false">
      <c r="A22" s="4" t="s">
        <v>16</v>
      </c>
    </row>
    <row r="23" customFormat="false" ht="45" hidden="false" customHeight="true" outlineLevel="0" collapsed="false">
      <c r="A2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</cols>
  <sheetData>
    <row r="1" customFormat="false" ht="15" hidden="false" customHeight="true" outlineLevel="0" collapsed="false">
      <c r="A1" s="5" t="s">
        <v>18</v>
      </c>
      <c r="B1" s="5" t="s">
        <v>19</v>
      </c>
    </row>
    <row r="2" customFormat="false" ht="19.5" hidden="false" customHeight="true" outlineLevel="0" collapsed="false">
      <c r="A2" s="6" t="s">
        <v>20</v>
      </c>
      <c r="B2" s="7" t="s">
        <v>21</v>
      </c>
    </row>
    <row r="3" customFormat="false" ht="19.5" hidden="false" customHeight="true" outlineLevel="0" collapsed="false">
      <c r="A3" s="6" t="s">
        <v>22</v>
      </c>
      <c r="B3" s="7" t="s">
        <v>23</v>
      </c>
    </row>
    <row r="4" customFormat="false" ht="19.5" hidden="false" customHeight="true" outlineLevel="0" collapsed="false">
      <c r="A4" s="6" t="s">
        <v>24</v>
      </c>
      <c r="B4" s="7" t="s">
        <v>25</v>
      </c>
    </row>
    <row r="5" customFormat="false" ht="19.5" hidden="false" customHeight="true" outlineLevel="0" collapsed="false">
      <c r="A5" s="6" t="s">
        <v>26</v>
      </c>
      <c r="B5" s="7" t="s">
        <v>27</v>
      </c>
    </row>
    <row r="6" customFormat="false" ht="19.5" hidden="false" customHeight="true" outlineLevel="0" collapsed="false">
      <c r="A6" s="6" t="s">
        <v>28</v>
      </c>
      <c r="B6" s="7" t="s">
        <v>29</v>
      </c>
    </row>
    <row r="7" customFormat="false" ht="19.5" hidden="false" customHeight="true" outlineLevel="0" collapsed="false">
      <c r="A7" s="6" t="s">
        <v>30</v>
      </c>
      <c r="B7" s="7" t="s">
        <v>31</v>
      </c>
    </row>
    <row r="8" customFormat="false" ht="19.5" hidden="false" customHeight="true" outlineLevel="0" collapsed="false">
      <c r="A8" s="6" t="s">
        <v>32</v>
      </c>
      <c r="B8" s="7" t="s">
        <v>33</v>
      </c>
    </row>
    <row r="9" customFormat="false" ht="19.5" hidden="false" customHeight="true" outlineLevel="0" collapsed="false">
      <c r="A9" s="6" t="s">
        <v>34</v>
      </c>
      <c r="B9" s="7" t="s">
        <v>35</v>
      </c>
    </row>
    <row r="10" customFormat="false" ht="19.5" hidden="false" customHeight="true" outlineLevel="0" collapsed="false">
      <c r="A10" s="6" t="s">
        <v>36</v>
      </c>
      <c r="B10" s="7" t="s">
        <v>37</v>
      </c>
    </row>
    <row r="12" customFormat="false" ht="15" hidden="false" customHeight="true" outlineLevel="0" collapsed="false">
      <c r="A12" s="8" t="s">
        <v>38</v>
      </c>
    </row>
    <row r="13" customFormat="false" ht="15" hidden="false" customHeight="true" outlineLevel="0" collapsed="false">
      <c r="A13" s="8" t="s">
        <v>20</v>
      </c>
      <c r="B13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4" min="4" style="1" width="50"/>
    <col collapsed="false" customWidth="true" hidden="false" outlineLevel="0" max="5" min="5" style="1" width="34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19.5" hidden="false" customHeight="tru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</row>
    <row r="2" customFormat="false" ht="18" hidden="false" customHeight="true" outlineLevel="0" collapsed="false">
      <c r="A2" s="11" t="s">
        <v>47</v>
      </c>
      <c r="B2" s="11" t="s">
        <v>48</v>
      </c>
      <c r="C2" s="12"/>
      <c r="D2" s="12"/>
      <c r="E2" s="12"/>
      <c r="F2" s="12"/>
      <c r="G2" s="12"/>
    </row>
    <row r="3" customFormat="false" ht="30" hidden="false" customHeight="true" outlineLevel="0" collapsed="false">
      <c r="A3" s="6" t="n">
        <v>1</v>
      </c>
      <c r="B3" s="6" t="s">
        <v>47</v>
      </c>
      <c r="C3" s="6" t="n">
        <v>1</v>
      </c>
      <c r="D3" s="13" t="s">
        <v>49</v>
      </c>
      <c r="E3" s="14" t="s">
        <v>50</v>
      </c>
      <c r="F3" s="7" t="s">
        <v>51</v>
      </c>
      <c r="G3" s="14"/>
    </row>
    <row r="4" customFormat="false" ht="30" hidden="false" customHeight="true" outlineLevel="0" collapsed="false">
      <c r="A4" s="6" t="n">
        <v>2</v>
      </c>
      <c r="B4" s="6" t="s">
        <v>47</v>
      </c>
      <c r="C4" s="6" t="n">
        <v>2</v>
      </c>
      <c r="D4" s="13" t="s">
        <v>52</v>
      </c>
      <c r="E4" s="14" t="s">
        <v>53</v>
      </c>
      <c r="F4" s="7" t="s">
        <v>51</v>
      </c>
      <c r="G4" s="14"/>
    </row>
    <row r="5" customFormat="false" ht="30" hidden="false" customHeight="true" outlineLevel="0" collapsed="false">
      <c r="A5" s="6" t="n">
        <v>3</v>
      </c>
      <c r="B5" s="6" t="s">
        <v>47</v>
      </c>
      <c r="C5" s="6" t="n">
        <v>3</v>
      </c>
      <c r="D5" s="13" t="s">
        <v>54</v>
      </c>
      <c r="E5" s="14" t="s">
        <v>55</v>
      </c>
      <c r="F5" s="7" t="s">
        <v>56</v>
      </c>
      <c r="G5" s="14"/>
    </row>
    <row r="6" customFormat="false" ht="18" hidden="false" customHeight="true" outlineLevel="0" collapsed="false">
      <c r="A6" s="11" t="s">
        <v>57</v>
      </c>
      <c r="B6" s="11" t="s">
        <v>58</v>
      </c>
      <c r="C6" s="12"/>
      <c r="D6" s="12"/>
      <c r="E6" s="12"/>
      <c r="F6" s="12"/>
      <c r="G6" s="12"/>
    </row>
    <row r="7" customFormat="false" ht="30" hidden="false" customHeight="true" outlineLevel="0" collapsed="false">
      <c r="A7" s="6" t="n">
        <v>4</v>
      </c>
      <c r="B7" s="6" t="s">
        <v>57</v>
      </c>
      <c r="C7" s="6" t="n">
        <v>1</v>
      </c>
      <c r="D7" s="13" t="s">
        <v>59</v>
      </c>
      <c r="E7" s="14" t="s">
        <v>60</v>
      </c>
      <c r="F7" s="7" t="s">
        <v>51</v>
      </c>
      <c r="G7" s="14"/>
    </row>
    <row r="8" customFormat="false" ht="30" hidden="false" customHeight="true" outlineLevel="0" collapsed="false">
      <c r="A8" s="6" t="n">
        <v>5</v>
      </c>
      <c r="B8" s="6" t="s">
        <v>57</v>
      </c>
      <c r="C8" s="6" t="n">
        <v>2</v>
      </c>
      <c r="D8" s="13" t="s">
        <v>61</v>
      </c>
      <c r="E8" s="14" t="s">
        <v>62</v>
      </c>
      <c r="F8" s="7" t="s">
        <v>51</v>
      </c>
      <c r="G8" s="14"/>
    </row>
    <row r="9" customFormat="false" ht="30" hidden="false" customHeight="true" outlineLevel="0" collapsed="false">
      <c r="A9" s="6" t="n">
        <v>6</v>
      </c>
      <c r="B9" s="6" t="s">
        <v>57</v>
      </c>
      <c r="C9" s="6" t="n">
        <v>3</v>
      </c>
      <c r="D9" s="13" t="s">
        <v>63</v>
      </c>
      <c r="E9" s="14" t="s">
        <v>64</v>
      </c>
      <c r="F9" s="7" t="s">
        <v>51</v>
      </c>
      <c r="G9" s="14"/>
    </row>
    <row r="10" customFormat="false" ht="18" hidden="false" customHeight="true" outlineLevel="0" collapsed="false">
      <c r="A10" s="11" t="s">
        <v>65</v>
      </c>
      <c r="B10" s="11" t="s">
        <v>66</v>
      </c>
      <c r="C10" s="12"/>
      <c r="D10" s="12"/>
      <c r="E10" s="12"/>
      <c r="F10" s="12"/>
      <c r="G10" s="12"/>
    </row>
    <row r="11" customFormat="false" ht="30" hidden="false" customHeight="true" outlineLevel="0" collapsed="false">
      <c r="A11" s="6" t="n">
        <v>7</v>
      </c>
      <c r="B11" s="6" t="s">
        <v>65</v>
      </c>
      <c r="C11" s="6" t="n">
        <v>1</v>
      </c>
      <c r="D11" s="13" t="s">
        <v>67</v>
      </c>
      <c r="E11" s="14" t="s">
        <v>68</v>
      </c>
      <c r="F11" s="7" t="s">
        <v>56</v>
      </c>
      <c r="G11" s="14"/>
    </row>
    <row r="12" customFormat="false" ht="30" hidden="false" customHeight="true" outlineLevel="0" collapsed="false">
      <c r="A12" s="6" t="n">
        <v>8</v>
      </c>
      <c r="B12" s="6" t="s">
        <v>65</v>
      </c>
      <c r="C12" s="6" t="n">
        <v>2</v>
      </c>
      <c r="D12" s="13" t="s">
        <v>69</v>
      </c>
      <c r="E12" s="14" t="s">
        <v>70</v>
      </c>
      <c r="F12" s="7" t="s">
        <v>56</v>
      </c>
      <c r="G12" s="14"/>
    </row>
    <row r="13" customFormat="false" ht="30" hidden="false" customHeight="true" outlineLevel="0" collapsed="false">
      <c r="A13" s="6" t="n">
        <v>9</v>
      </c>
      <c r="B13" s="6" t="s">
        <v>65</v>
      </c>
      <c r="C13" s="6" t="n">
        <v>3</v>
      </c>
      <c r="D13" s="13" t="s">
        <v>71</v>
      </c>
      <c r="E13" s="14" t="s">
        <v>72</v>
      </c>
      <c r="F13" s="7" t="s">
        <v>51</v>
      </c>
      <c r="G13" s="14"/>
    </row>
    <row r="14" customFormat="false" ht="18" hidden="false" customHeight="true" outlineLevel="0" collapsed="false">
      <c r="A14" s="11" t="s">
        <v>73</v>
      </c>
      <c r="B14" s="11" t="s">
        <v>74</v>
      </c>
      <c r="C14" s="12"/>
      <c r="D14" s="12"/>
      <c r="E14" s="12"/>
      <c r="F14" s="12"/>
      <c r="G14" s="12"/>
    </row>
    <row r="15" customFormat="false" ht="30" hidden="false" customHeight="true" outlineLevel="0" collapsed="false">
      <c r="A15" s="6" t="n">
        <v>10</v>
      </c>
      <c r="B15" s="6" t="s">
        <v>73</v>
      </c>
      <c r="C15" s="6" t="n">
        <v>1</v>
      </c>
      <c r="D15" s="13" t="s">
        <v>75</v>
      </c>
      <c r="E15" s="14" t="s">
        <v>76</v>
      </c>
      <c r="F15" s="7" t="s">
        <v>56</v>
      </c>
      <c r="G15" s="14"/>
    </row>
    <row r="16" customFormat="false" ht="30" hidden="false" customHeight="true" outlineLevel="0" collapsed="false">
      <c r="A16" s="6" t="n">
        <v>11</v>
      </c>
      <c r="B16" s="6" t="s">
        <v>73</v>
      </c>
      <c r="C16" s="6" t="n">
        <v>2</v>
      </c>
      <c r="D16" s="13" t="s">
        <v>77</v>
      </c>
      <c r="E16" s="14" t="s">
        <v>78</v>
      </c>
      <c r="F16" s="7" t="s">
        <v>51</v>
      </c>
      <c r="G16" s="14"/>
    </row>
    <row r="17" customFormat="false" ht="30" hidden="false" customHeight="true" outlineLevel="0" collapsed="false">
      <c r="A17" s="6" t="n">
        <v>12</v>
      </c>
      <c r="B17" s="6" t="s">
        <v>73</v>
      </c>
      <c r="C17" s="6" t="n">
        <v>3</v>
      </c>
      <c r="D17" s="13" t="s">
        <v>79</v>
      </c>
      <c r="E17" s="14" t="s">
        <v>80</v>
      </c>
      <c r="F17" s="7" t="s">
        <v>51</v>
      </c>
      <c r="G17" s="14"/>
    </row>
    <row r="18" customFormat="false" ht="18" hidden="false" customHeight="true" outlineLevel="0" collapsed="false">
      <c r="A18" s="11" t="s">
        <v>81</v>
      </c>
      <c r="B18" s="11" t="s">
        <v>82</v>
      </c>
      <c r="C18" s="12"/>
      <c r="D18" s="12"/>
      <c r="E18" s="12"/>
      <c r="F18" s="12"/>
      <c r="G18" s="12"/>
    </row>
    <row r="19" customFormat="false" ht="30" hidden="false" customHeight="true" outlineLevel="0" collapsed="false">
      <c r="A19" s="6" t="n">
        <v>13</v>
      </c>
      <c r="B19" s="6" t="s">
        <v>81</v>
      </c>
      <c r="C19" s="6" t="n">
        <v>1</v>
      </c>
      <c r="D19" s="13" t="s">
        <v>83</v>
      </c>
      <c r="E19" s="14" t="s">
        <v>84</v>
      </c>
      <c r="F19" s="7" t="s">
        <v>56</v>
      </c>
      <c r="G19" s="14"/>
    </row>
    <row r="20" customFormat="false" ht="30" hidden="false" customHeight="true" outlineLevel="0" collapsed="false">
      <c r="A20" s="6" t="n">
        <v>14</v>
      </c>
      <c r="B20" s="6" t="s">
        <v>81</v>
      </c>
      <c r="C20" s="6" t="n">
        <v>2</v>
      </c>
      <c r="D20" s="13" t="s">
        <v>85</v>
      </c>
      <c r="E20" s="14" t="s">
        <v>86</v>
      </c>
      <c r="F20" s="7" t="s">
        <v>51</v>
      </c>
      <c r="G20" s="14"/>
    </row>
    <row r="21" customFormat="false" ht="30" hidden="false" customHeight="true" outlineLevel="0" collapsed="false">
      <c r="A21" s="6" t="n">
        <v>15</v>
      </c>
      <c r="B21" s="6" t="s">
        <v>81</v>
      </c>
      <c r="C21" s="6" t="n">
        <v>3</v>
      </c>
      <c r="D21" s="13" t="s">
        <v>87</v>
      </c>
      <c r="E21" s="14" t="s">
        <v>88</v>
      </c>
      <c r="F21" s="7" t="s">
        <v>56</v>
      </c>
      <c r="G21" s="14"/>
    </row>
    <row r="22" customFormat="false" ht="18" hidden="false" customHeight="true" outlineLevel="0" collapsed="false">
      <c r="A22" s="11" t="s">
        <v>89</v>
      </c>
      <c r="B22" s="11" t="s">
        <v>90</v>
      </c>
      <c r="C22" s="12"/>
      <c r="D22" s="12"/>
      <c r="E22" s="12"/>
      <c r="F22" s="12"/>
      <c r="G22" s="12"/>
    </row>
    <row r="23" customFormat="false" ht="30" hidden="false" customHeight="true" outlineLevel="0" collapsed="false">
      <c r="A23" s="6" t="n">
        <v>16</v>
      </c>
      <c r="B23" s="6" t="s">
        <v>89</v>
      </c>
      <c r="C23" s="6" t="n">
        <v>1</v>
      </c>
      <c r="D23" s="13" t="s">
        <v>91</v>
      </c>
      <c r="E23" s="14" t="s">
        <v>92</v>
      </c>
      <c r="F23" s="7" t="s">
        <v>51</v>
      </c>
      <c r="G23" s="14"/>
    </row>
    <row r="24" customFormat="false" ht="30" hidden="false" customHeight="true" outlineLevel="0" collapsed="false">
      <c r="A24" s="6" t="n">
        <v>17</v>
      </c>
      <c r="B24" s="6" t="s">
        <v>89</v>
      </c>
      <c r="C24" s="6" t="n">
        <v>2</v>
      </c>
      <c r="D24" s="13" t="s">
        <v>93</v>
      </c>
      <c r="E24" s="14" t="s">
        <v>94</v>
      </c>
      <c r="F24" s="7" t="s">
        <v>56</v>
      </c>
      <c r="G24" s="14"/>
    </row>
    <row r="25" customFormat="false" ht="30" hidden="false" customHeight="true" outlineLevel="0" collapsed="false">
      <c r="A25" s="6" t="n">
        <v>18</v>
      </c>
      <c r="B25" s="6" t="s">
        <v>89</v>
      </c>
      <c r="C25" s="6" t="n">
        <v>3</v>
      </c>
      <c r="D25" s="13" t="s">
        <v>95</v>
      </c>
      <c r="E25" s="14" t="s">
        <v>96</v>
      </c>
      <c r="F25" s="7" t="s">
        <v>56</v>
      </c>
      <c r="G25" s="14"/>
    </row>
    <row r="26" customFormat="false" ht="18" hidden="false" customHeight="true" outlineLevel="0" collapsed="false">
      <c r="A26" s="11" t="s">
        <v>97</v>
      </c>
      <c r="B26" s="11" t="s">
        <v>98</v>
      </c>
      <c r="C26" s="12"/>
      <c r="D26" s="12"/>
      <c r="E26" s="12"/>
      <c r="F26" s="12"/>
      <c r="G26" s="12"/>
    </row>
    <row r="27" customFormat="false" ht="30" hidden="false" customHeight="true" outlineLevel="0" collapsed="false">
      <c r="A27" s="6" t="n">
        <v>19</v>
      </c>
      <c r="B27" s="6" t="s">
        <v>97</v>
      </c>
      <c r="C27" s="6" t="n">
        <v>1</v>
      </c>
      <c r="D27" s="13" t="s">
        <v>99</v>
      </c>
      <c r="E27" s="14" t="s">
        <v>100</v>
      </c>
      <c r="F27" s="7" t="s">
        <v>51</v>
      </c>
      <c r="G27" s="14"/>
    </row>
    <row r="28" customFormat="false" ht="30" hidden="false" customHeight="true" outlineLevel="0" collapsed="false">
      <c r="A28" s="6" t="n">
        <v>20</v>
      </c>
      <c r="B28" s="6" t="s">
        <v>97</v>
      </c>
      <c r="C28" s="6" t="n">
        <v>2</v>
      </c>
      <c r="D28" s="13" t="s">
        <v>101</v>
      </c>
      <c r="E28" s="14" t="s">
        <v>102</v>
      </c>
      <c r="F28" s="7" t="s">
        <v>56</v>
      </c>
      <c r="G28" s="14"/>
    </row>
    <row r="29" customFormat="false" ht="30" hidden="false" customHeight="true" outlineLevel="0" collapsed="false">
      <c r="A29" s="6" t="n">
        <v>21</v>
      </c>
      <c r="B29" s="6" t="s">
        <v>97</v>
      </c>
      <c r="C29" s="6" t="n">
        <v>3</v>
      </c>
      <c r="D29" s="13" t="s">
        <v>103</v>
      </c>
      <c r="E29" s="14" t="s">
        <v>104</v>
      </c>
      <c r="F29" s="7" t="s">
        <v>105</v>
      </c>
      <c r="G29" s="14"/>
    </row>
    <row r="30" customFormat="false" ht="18" hidden="false" customHeight="true" outlineLevel="0" collapsed="false">
      <c r="A30" s="11" t="s">
        <v>106</v>
      </c>
      <c r="B30" s="11" t="s">
        <v>107</v>
      </c>
      <c r="C30" s="12"/>
      <c r="D30" s="12"/>
      <c r="E30" s="12"/>
      <c r="F30" s="12"/>
      <c r="G30" s="12"/>
    </row>
    <row r="31" customFormat="false" ht="30" hidden="false" customHeight="true" outlineLevel="0" collapsed="false">
      <c r="A31" s="6" t="n">
        <v>22</v>
      </c>
      <c r="B31" s="6" t="s">
        <v>106</v>
      </c>
      <c r="C31" s="6" t="n">
        <v>1</v>
      </c>
      <c r="D31" s="13" t="s">
        <v>108</v>
      </c>
      <c r="E31" s="14" t="s">
        <v>109</v>
      </c>
      <c r="F31" s="7" t="s">
        <v>105</v>
      </c>
      <c r="G31" s="14"/>
    </row>
    <row r="32" customFormat="false" ht="30" hidden="false" customHeight="true" outlineLevel="0" collapsed="false">
      <c r="A32" s="6" t="n">
        <v>23</v>
      </c>
      <c r="B32" s="6" t="s">
        <v>106</v>
      </c>
      <c r="C32" s="6" t="n">
        <v>2</v>
      </c>
      <c r="D32" s="13" t="s">
        <v>110</v>
      </c>
      <c r="E32" s="14" t="s">
        <v>111</v>
      </c>
      <c r="F32" s="7" t="s">
        <v>105</v>
      </c>
      <c r="G32" s="14"/>
    </row>
    <row r="33" customFormat="false" ht="30" hidden="false" customHeight="true" outlineLevel="0" collapsed="false">
      <c r="A33" s="6" t="n">
        <v>24</v>
      </c>
      <c r="B33" s="6" t="s">
        <v>106</v>
      </c>
      <c r="C33" s="6" t="n">
        <v>3</v>
      </c>
      <c r="D33" s="13" t="s">
        <v>112</v>
      </c>
      <c r="E33" s="14" t="s">
        <v>113</v>
      </c>
      <c r="F33" s="7" t="s">
        <v>56</v>
      </c>
      <c r="G33" s="14"/>
    </row>
    <row r="34" customFormat="false" ht="18" hidden="false" customHeight="true" outlineLevel="0" collapsed="false">
      <c r="A34" s="11" t="s">
        <v>114</v>
      </c>
      <c r="B34" s="11" t="s">
        <v>115</v>
      </c>
      <c r="C34" s="12"/>
      <c r="D34" s="12"/>
      <c r="E34" s="12"/>
      <c r="F34" s="12"/>
      <c r="G34" s="12"/>
    </row>
    <row r="35" customFormat="false" ht="30" hidden="false" customHeight="true" outlineLevel="0" collapsed="false">
      <c r="A35" s="6" t="n">
        <v>25</v>
      </c>
      <c r="B35" s="6" t="s">
        <v>114</v>
      </c>
      <c r="C35" s="6" t="n">
        <v>1</v>
      </c>
      <c r="D35" s="13" t="s">
        <v>116</v>
      </c>
      <c r="E35" s="14" t="s">
        <v>117</v>
      </c>
      <c r="F35" s="7" t="s">
        <v>51</v>
      </c>
      <c r="G35" s="14"/>
    </row>
    <row r="36" customFormat="false" ht="30" hidden="false" customHeight="true" outlineLevel="0" collapsed="false">
      <c r="A36" s="6" t="n">
        <v>26</v>
      </c>
      <c r="B36" s="6" t="s">
        <v>114</v>
      </c>
      <c r="C36" s="6" t="n">
        <v>2</v>
      </c>
      <c r="D36" s="13" t="s">
        <v>118</v>
      </c>
      <c r="E36" s="14" t="s">
        <v>119</v>
      </c>
      <c r="F36" s="7" t="s">
        <v>51</v>
      </c>
      <c r="G36" s="14"/>
    </row>
    <row r="37" customFormat="false" ht="30" hidden="false" customHeight="true" outlineLevel="0" collapsed="false">
      <c r="A37" s="6" t="n">
        <v>27</v>
      </c>
      <c r="B37" s="6" t="s">
        <v>114</v>
      </c>
      <c r="C37" s="6" t="n">
        <v>3</v>
      </c>
      <c r="D37" s="13" t="s">
        <v>120</v>
      </c>
      <c r="E37" s="14" t="s">
        <v>121</v>
      </c>
      <c r="F37" s="7" t="s">
        <v>51</v>
      </c>
      <c r="G37" s="14"/>
    </row>
    <row r="38" customFormat="false" ht="18" hidden="false" customHeight="true" outlineLevel="0" collapsed="false">
      <c r="A38" s="11" t="s">
        <v>122</v>
      </c>
      <c r="B38" s="11" t="s">
        <v>123</v>
      </c>
      <c r="C38" s="12"/>
      <c r="D38" s="12"/>
      <c r="E38" s="12"/>
      <c r="F38" s="12"/>
      <c r="G38" s="12"/>
    </row>
    <row r="39" customFormat="false" ht="30" hidden="false" customHeight="true" outlineLevel="0" collapsed="false">
      <c r="A39" s="6" t="n">
        <v>28</v>
      </c>
      <c r="B39" s="6" t="s">
        <v>122</v>
      </c>
      <c r="C39" s="6" t="n">
        <v>1</v>
      </c>
      <c r="D39" s="13" t="s">
        <v>124</v>
      </c>
      <c r="E39" s="14" t="s">
        <v>125</v>
      </c>
      <c r="F39" s="7" t="s">
        <v>51</v>
      </c>
      <c r="G39" s="14"/>
    </row>
    <row r="40" customFormat="false" ht="30" hidden="false" customHeight="true" outlineLevel="0" collapsed="false">
      <c r="A40" s="6" t="n">
        <v>29</v>
      </c>
      <c r="B40" s="6" t="s">
        <v>122</v>
      </c>
      <c r="C40" s="6" t="n">
        <v>2</v>
      </c>
      <c r="D40" s="13" t="s">
        <v>126</v>
      </c>
      <c r="E40" s="14" t="s">
        <v>127</v>
      </c>
      <c r="F40" s="7" t="s">
        <v>51</v>
      </c>
      <c r="G40" s="14"/>
    </row>
    <row r="41" customFormat="false" ht="30" hidden="false" customHeight="true" outlineLevel="0" collapsed="false">
      <c r="A41" s="6" t="n">
        <v>30</v>
      </c>
      <c r="B41" s="6" t="s">
        <v>122</v>
      </c>
      <c r="C41" s="6" t="n">
        <v>3</v>
      </c>
      <c r="D41" s="13" t="s">
        <v>128</v>
      </c>
      <c r="E41" s="14" t="s">
        <v>129</v>
      </c>
      <c r="F41" s="7" t="s">
        <v>56</v>
      </c>
      <c r="G41" s="14"/>
    </row>
    <row r="42" customFormat="false" ht="18" hidden="false" customHeight="true" outlineLevel="0" collapsed="false">
      <c r="A42" s="11" t="s">
        <v>130</v>
      </c>
      <c r="B42" s="11" t="s">
        <v>131</v>
      </c>
      <c r="C42" s="12"/>
      <c r="D42" s="12"/>
      <c r="E42" s="12"/>
      <c r="F42" s="12"/>
      <c r="G42" s="12"/>
    </row>
    <row r="43" customFormat="false" ht="30" hidden="false" customHeight="true" outlineLevel="0" collapsed="false">
      <c r="A43" s="6" t="n">
        <v>31</v>
      </c>
      <c r="B43" s="6" t="s">
        <v>130</v>
      </c>
      <c r="C43" s="6" t="n">
        <v>1</v>
      </c>
      <c r="D43" s="13" t="s">
        <v>132</v>
      </c>
      <c r="E43" s="14" t="s">
        <v>133</v>
      </c>
      <c r="F43" s="7" t="s">
        <v>56</v>
      </c>
      <c r="G43" s="14"/>
    </row>
    <row r="44" customFormat="false" ht="30" hidden="false" customHeight="true" outlineLevel="0" collapsed="false">
      <c r="A44" s="6" t="n">
        <v>32</v>
      </c>
      <c r="B44" s="6" t="s">
        <v>130</v>
      </c>
      <c r="C44" s="6" t="n">
        <v>2</v>
      </c>
      <c r="D44" s="13" t="s">
        <v>134</v>
      </c>
      <c r="E44" s="14" t="s">
        <v>135</v>
      </c>
      <c r="F44" s="7" t="s">
        <v>56</v>
      </c>
      <c r="G44" s="14"/>
    </row>
    <row r="45" customFormat="false" ht="30" hidden="false" customHeight="true" outlineLevel="0" collapsed="false">
      <c r="A45" s="6" t="n">
        <v>33</v>
      </c>
      <c r="B45" s="6" t="s">
        <v>130</v>
      </c>
      <c r="C45" s="6" t="n">
        <v>3</v>
      </c>
      <c r="D45" s="13" t="s">
        <v>136</v>
      </c>
      <c r="E45" s="14" t="s">
        <v>137</v>
      </c>
      <c r="F45" s="7" t="s">
        <v>105</v>
      </c>
      <c r="G45" s="14"/>
    </row>
    <row r="46" customFormat="false" ht="30" hidden="false" customHeight="true" outlineLevel="0" collapsed="false">
      <c r="A46" s="6" t="n">
        <v>34</v>
      </c>
      <c r="B46" s="6" t="s">
        <v>130</v>
      </c>
      <c r="C46" s="6" t="n">
        <v>4</v>
      </c>
      <c r="D46" s="13" t="s">
        <v>138</v>
      </c>
      <c r="E46" s="14" t="s">
        <v>139</v>
      </c>
      <c r="F46" s="7" t="s">
        <v>51</v>
      </c>
      <c r="G46" s="14"/>
    </row>
    <row r="47" customFormat="false" ht="18" hidden="false" customHeight="true" outlineLevel="0" collapsed="false">
      <c r="A47" s="11" t="s">
        <v>140</v>
      </c>
      <c r="B47" s="11" t="s">
        <v>141</v>
      </c>
      <c r="C47" s="12"/>
      <c r="D47" s="12"/>
      <c r="E47" s="12"/>
      <c r="F47" s="12"/>
      <c r="G47" s="12"/>
    </row>
    <row r="48" customFormat="false" ht="30" hidden="false" customHeight="true" outlineLevel="0" collapsed="false">
      <c r="A48" s="6" t="n">
        <v>35</v>
      </c>
      <c r="B48" s="6" t="s">
        <v>140</v>
      </c>
      <c r="C48" s="6" t="n">
        <v>1</v>
      </c>
      <c r="D48" s="13" t="s">
        <v>142</v>
      </c>
      <c r="E48" s="14" t="s">
        <v>143</v>
      </c>
      <c r="F48" s="7" t="s">
        <v>51</v>
      </c>
      <c r="G48" s="14"/>
    </row>
    <row r="49" customFormat="false" ht="30" hidden="false" customHeight="true" outlineLevel="0" collapsed="false">
      <c r="A49" s="6" t="n">
        <v>36</v>
      </c>
      <c r="B49" s="6" t="s">
        <v>140</v>
      </c>
      <c r="C49" s="6" t="n">
        <v>2</v>
      </c>
      <c r="D49" s="13" t="s">
        <v>144</v>
      </c>
      <c r="E49" s="14" t="s">
        <v>145</v>
      </c>
      <c r="F49" s="7" t="s">
        <v>56</v>
      </c>
      <c r="G49" s="14"/>
    </row>
    <row r="50" customFormat="false" ht="30" hidden="false" customHeight="true" outlineLevel="0" collapsed="false">
      <c r="A50" s="6" t="n">
        <v>37</v>
      </c>
      <c r="B50" s="6" t="s">
        <v>140</v>
      </c>
      <c r="C50" s="6" t="n">
        <v>3</v>
      </c>
      <c r="D50" s="13" t="s">
        <v>146</v>
      </c>
      <c r="E50" s="14" t="s">
        <v>147</v>
      </c>
      <c r="F50" s="7" t="s">
        <v>51</v>
      </c>
      <c r="G50" s="14"/>
    </row>
    <row r="51" customFormat="false" ht="18" hidden="false" customHeight="true" outlineLevel="0" collapsed="false">
      <c r="A51" s="11" t="s">
        <v>148</v>
      </c>
      <c r="B51" s="11" t="s">
        <v>149</v>
      </c>
      <c r="C51" s="12"/>
      <c r="D51" s="12"/>
      <c r="E51" s="12"/>
      <c r="F51" s="12"/>
      <c r="G51" s="12"/>
    </row>
    <row r="52" customFormat="false" ht="30" hidden="false" customHeight="true" outlineLevel="0" collapsed="false">
      <c r="A52" s="6" t="n">
        <v>38</v>
      </c>
      <c r="B52" s="6" t="s">
        <v>148</v>
      </c>
      <c r="C52" s="6" t="n">
        <v>1</v>
      </c>
      <c r="D52" s="13" t="s">
        <v>150</v>
      </c>
      <c r="E52" s="14" t="s">
        <v>151</v>
      </c>
      <c r="F52" s="7" t="s">
        <v>51</v>
      </c>
      <c r="G52" s="14"/>
    </row>
    <row r="53" customFormat="false" ht="30" hidden="false" customHeight="true" outlineLevel="0" collapsed="false">
      <c r="A53" s="6" t="n">
        <v>39</v>
      </c>
      <c r="B53" s="6" t="s">
        <v>148</v>
      </c>
      <c r="C53" s="6" t="n">
        <v>2</v>
      </c>
      <c r="D53" s="13" t="s">
        <v>152</v>
      </c>
      <c r="E53" s="14" t="s">
        <v>153</v>
      </c>
      <c r="F53" s="7" t="s">
        <v>51</v>
      </c>
      <c r="G53" s="14"/>
    </row>
    <row r="54" customFormat="false" ht="30" hidden="false" customHeight="true" outlineLevel="0" collapsed="false">
      <c r="A54" s="6" t="n">
        <v>40</v>
      </c>
      <c r="B54" s="6" t="s">
        <v>148</v>
      </c>
      <c r="C54" s="6" t="n">
        <v>3</v>
      </c>
      <c r="D54" s="13" t="s">
        <v>154</v>
      </c>
      <c r="E54" s="14" t="s">
        <v>155</v>
      </c>
      <c r="F54" s="7" t="s">
        <v>105</v>
      </c>
      <c r="G54" s="14"/>
    </row>
    <row r="55" customFormat="false" ht="18" hidden="false" customHeight="true" outlineLevel="0" collapsed="false">
      <c r="A55" s="11" t="s">
        <v>105</v>
      </c>
      <c r="B55" s="11" t="s">
        <v>156</v>
      </c>
      <c r="C55" s="12"/>
      <c r="D55" s="12"/>
      <c r="E55" s="12"/>
      <c r="F55" s="12"/>
      <c r="G55" s="12"/>
    </row>
    <row r="56" customFormat="false" ht="30" hidden="false" customHeight="true" outlineLevel="0" collapsed="false">
      <c r="A56" s="6" t="n">
        <v>41</v>
      </c>
      <c r="B56" s="6" t="s">
        <v>105</v>
      </c>
      <c r="C56" s="6" t="n">
        <v>1</v>
      </c>
      <c r="D56" s="13" t="s">
        <v>157</v>
      </c>
      <c r="E56" s="14" t="s">
        <v>158</v>
      </c>
      <c r="F56" s="7" t="s">
        <v>51</v>
      </c>
      <c r="G56" s="14"/>
    </row>
    <row r="57" customFormat="false" ht="30" hidden="false" customHeight="true" outlineLevel="0" collapsed="false">
      <c r="A57" s="6" t="n">
        <v>42</v>
      </c>
      <c r="B57" s="6" t="s">
        <v>105</v>
      </c>
      <c r="C57" s="6" t="n">
        <v>2</v>
      </c>
      <c r="D57" s="13" t="s">
        <v>159</v>
      </c>
      <c r="E57" s="14" t="s">
        <v>160</v>
      </c>
      <c r="F57" s="7" t="s">
        <v>51</v>
      </c>
      <c r="G57" s="14"/>
    </row>
    <row r="58" customFormat="false" ht="30" hidden="false" customHeight="true" outlineLevel="0" collapsed="false">
      <c r="A58" s="6" t="n">
        <v>43</v>
      </c>
      <c r="B58" s="6" t="s">
        <v>105</v>
      </c>
      <c r="C58" s="6" t="n">
        <v>3</v>
      </c>
      <c r="D58" s="13" t="s">
        <v>161</v>
      </c>
      <c r="E58" s="14" t="s">
        <v>162</v>
      </c>
      <c r="F58" s="7" t="s">
        <v>56</v>
      </c>
      <c r="G58" s="14"/>
    </row>
    <row r="59" customFormat="false" ht="18" hidden="false" customHeight="true" outlineLevel="0" collapsed="false">
      <c r="A59" s="11" t="s">
        <v>163</v>
      </c>
      <c r="B59" s="11" t="s">
        <v>164</v>
      </c>
      <c r="C59" s="12"/>
      <c r="D59" s="12"/>
      <c r="E59" s="12"/>
      <c r="F59" s="12"/>
      <c r="G59" s="12"/>
    </row>
    <row r="60" customFormat="false" ht="30" hidden="false" customHeight="true" outlineLevel="0" collapsed="false">
      <c r="A60" s="6" t="n">
        <v>44</v>
      </c>
      <c r="B60" s="6" t="s">
        <v>163</v>
      </c>
      <c r="C60" s="6" t="n">
        <v>1</v>
      </c>
      <c r="D60" s="13" t="s">
        <v>165</v>
      </c>
      <c r="E60" s="14" t="s">
        <v>166</v>
      </c>
      <c r="F60" s="7" t="s">
        <v>51</v>
      </c>
      <c r="G60" s="14"/>
    </row>
    <row r="61" customFormat="false" ht="30" hidden="false" customHeight="true" outlineLevel="0" collapsed="false">
      <c r="A61" s="6" t="n">
        <v>45</v>
      </c>
      <c r="B61" s="6" t="s">
        <v>163</v>
      </c>
      <c r="C61" s="6" t="n">
        <v>2</v>
      </c>
      <c r="D61" s="13" t="s">
        <v>167</v>
      </c>
      <c r="E61" s="14" t="s">
        <v>168</v>
      </c>
      <c r="F61" s="7" t="s">
        <v>56</v>
      </c>
      <c r="G61" s="14"/>
    </row>
    <row r="62" customFormat="false" ht="30" hidden="false" customHeight="true" outlineLevel="0" collapsed="false">
      <c r="A62" s="6" t="n">
        <v>46</v>
      </c>
      <c r="B62" s="6" t="s">
        <v>163</v>
      </c>
      <c r="C62" s="6" t="n">
        <v>3</v>
      </c>
      <c r="D62" s="13" t="s">
        <v>169</v>
      </c>
      <c r="E62" s="14" t="s">
        <v>170</v>
      </c>
      <c r="F62" s="7" t="s">
        <v>51</v>
      </c>
      <c r="G62" s="14"/>
    </row>
    <row r="63" customFormat="false" ht="18" hidden="false" customHeight="true" outlineLevel="0" collapsed="false">
      <c r="A63" s="11" t="s">
        <v>171</v>
      </c>
      <c r="B63" s="11" t="s">
        <v>172</v>
      </c>
      <c r="C63" s="12"/>
      <c r="D63" s="12"/>
      <c r="E63" s="12"/>
      <c r="F63" s="12"/>
      <c r="G63" s="12"/>
    </row>
    <row r="64" customFormat="false" ht="30" hidden="false" customHeight="true" outlineLevel="0" collapsed="false">
      <c r="A64" s="6" t="n">
        <v>47</v>
      </c>
      <c r="B64" s="6" t="s">
        <v>171</v>
      </c>
      <c r="C64" s="6" t="n">
        <v>1</v>
      </c>
      <c r="D64" s="13" t="s">
        <v>173</v>
      </c>
      <c r="E64" s="14" t="s">
        <v>174</v>
      </c>
      <c r="F64" s="7" t="s">
        <v>51</v>
      </c>
      <c r="G64" s="14"/>
    </row>
    <row r="65" customFormat="false" ht="30" hidden="false" customHeight="true" outlineLevel="0" collapsed="false">
      <c r="A65" s="6" t="n">
        <v>48</v>
      </c>
      <c r="B65" s="6" t="s">
        <v>171</v>
      </c>
      <c r="C65" s="6" t="n">
        <v>2</v>
      </c>
      <c r="D65" s="13" t="s">
        <v>175</v>
      </c>
      <c r="E65" s="14" t="s">
        <v>176</v>
      </c>
      <c r="F65" s="7" t="s">
        <v>51</v>
      </c>
      <c r="G65" s="14"/>
    </row>
    <row r="66" customFormat="false" ht="30" hidden="false" customHeight="true" outlineLevel="0" collapsed="false">
      <c r="A66" s="6" t="n">
        <v>49</v>
      </c>
      <c r="B66" s="6" t="s">
        <v>171</v>
      </c>
      <c r="C66" s="6" t="n">
        <v>3</v>
      </c>
      <c r="D66" s="13" t="s">
        <v>177</v>
      </c>
      <c r="E66" s="14" t="s">
        <v>178</v>
      </c>
      <c r="F66" s="7" t="s">
        <v>51</v>
      </c>
      <c r="G66" s="14"/>
    </row>
    <row r="67" customFormat="false" ht="18" hidden="false" customHeight="true" outlineLevel="0" collapsed="false">
      <c r="A67" s="11" t="s">
        <v>179</v>
      </c>
      <c r="B67" s="11" t="s">
        <v>180</v>
      </c>
      <c r="C67" s="12"/>
      <c r="D67" s="12"/>
      <c r="E67" s="12"/>
      <c r="F67" s="12"/>
      <c r="G67" s="12"/>
    </row>
    <row r="68" customFormat="false" ht="30" hidden="false" customHeight="true" outlineLevel="0" collapsed="false">
      <c r="A68" s="6" t="n">
        <v>50</v>
      </c>
      <c r="B68" s="6" t="s">
        <v>179</v>
      </c>
      <c r="C68" s="6" t="n">
        <v>1</v>
      </c>
      <c r="D68" s="13" t="s">
        <v>181</v>
      </c>
      <c r="E68" s="14" t="s">
        <v>182</v>
      </c>
      <c r="F68" s="7" t="s">
        <v>51</v>
      </c>
      <c r="G68" s="14"/>
    </row>
    <row r="69" customFormat="false" ht="30" hidden="false" customHeight="true" outlineLevel="0" collapsed="false">
      <c r="A69" s="6" t="n">
        <v>51</v>
      </c>
      <c r="B69" s="6" t="s">
        <v>179</v>
      </c>
      <c r="C69" s="6" t="n">
        <v>2</v>
      </c>
      <c r="D69" s="13" t="s">
        <v>183</v>
      </c>
      <c r="E69" s="14" t="s">
        <v>184</v>
      </c>
      <c r="F69" s="7" t="s">
        <v>51</v>
      </c>
      <c r="G69" s="14"/>
    </row>
    <row r="70" customFormat="false" ht="30" hidden="false" customHeight="true" outlineLevel="0" collapsed="false">
      <c r="A70" s="6" t="n">
        <v>52</v>
      </c>
      <c r="B70" s="6" t="s">
        <v>179</v>
      </c>
      <c r="C70" s="6" t="n">
        <v>3</v>
      </c>
      <c r="D70" s="13" t="s">
        <v>185</v>
      </c>
      <c r="E70" s="14" t="s">
        <v>186</v>
      </c>
      <c r="F70" s="7" t="s">
        <v>51</v>
      </c>
      <c r="G70" s="14"/>
    </row>
    <row r="71" customFormat="false" ht="18" hidden="false" customHeight="true" outlineLevel="0" collapsed="false">
      <c r="A71" s="11" t="s">
        <v>187</v>
      </c>
      <c r="B71" s="11" t="s">
        <v>188</v>
      </c>
      <c r="C71" s="12"/>
      <c r="D71" s="12"/>
      <c r="E71" s="12"/>
      <c r="F71" s="12"/>
      <c r="G71" s="12"/>
    </row>
    <row r="72" customFormat="false" ht="30" hidden="false" customHeight="true" outlineLevel="0" collapsed="false">
      <c r="A72" s="6" t="n">
        <v>53</v>
      </c>
      <c r="B72" s="6" t="s">
        <v>187</v>
      </c>
      <c r="C72" s="6" t="n">
        <v>1</v>
      </c>
      <c r="D72" s="13" t="s">
        <v>189</v>
      </c>
      <c r="E72" s="14" t="s">
        <v>190</v>
      </c>
      <c r="F72" s="7" t="s">
        <v>56</v>
      </c>
      <c r="G72" s="14"/>
    </row>
    <row r="73" customFormat="false" ht="30" hidden="false" customHeight="true" outlineLevel="0" collapsed="false">
      <c r="A73" s="6" t="n">
        <v>54</v>
      </c>
      <c r="B73" s="6" t="s">
        <v>187</v>
      </c>
      <c r="C73" s="6" t="n">
        <v>2</v>
      </c>
      <c r="D73" s="13" t="s">
        <v>191</v>
      </c>
      <c r="E73" s="14" t="s">
        <v>192</v>
      </c>
      <c r="F73" s="7" t="s">
        <v>51</v>
      </c>
      <c r="G73" s="14"/>
    </row>
    <row r="74" customFormat="false" ht="30" hidden="false" customHeight="true" outlineLevel="0" collapsed="false">
      <c r="A74" s="6" t="n">
        <v>55</v>
      </c>
      <c r="B74" s="6" t="s">
        <v>187</v>
      </c>
      <c r="C74" s="6" t="n">
        <v>3</v>
      </c>
      <c r="D74" s="13" t="s">
        <v>193</v>
      </c>
      <c r="E74" s="14" t="s">
        <v>194</v>
      </c>
      <c r="F74" s="7" t="s">
        <v>105</v>
      </c>
      <c r="G74" s="14"/>
    </row>
    <row r="75" customFormat="false" ht="18" hidden="false" customHeight="true" outlineLevel="0" collapsed="false">
      <c r="A75" s="11" t="s">
        <v>195</v>
      </c>
      <c r="B75" s="11" t="s">
        <v>196</v>
      </c>
      <c r="C75" s="12"/>
      <c r="D75" s="12"/>
      <c r="E75" s="12"/>
      <c r="F75" s="12"/>
      <c r="G75" s="12"/>
    </row>
    <row r="76" customFormat="false" ht="30" hidden="false" customHeight="true" outlineLevel="0" collapsed="false">
      <c r="A76" s="6" t="n">
        <v>56</v>
      </c>
      <c r="B76" s="6" t="s">
        <v>195</v>
      </c>
      <c r="C76" s="6" t="n">
        <v>1</v>
      </c>
      <c r="D76" s="13" t="s">
        <v>197</v>
      </c>
      <c r="E76" s="14" t="s">
        <v>198</v>
      </c>
      <c r="F76" s="7" t="s">
        <v>56</v>
      </c>
      <c r="G76" s="14"/>
    </row>
    <row r="77" customFormat="false" ht="30" hidden="false" customHeight="true" outlineLevel="0" collapsed="false">
      <c r="A77" s="6" t="n">
        <v>57</v>
      </c>
      <c r="B77" s="6" t="s">
        <v>195</v>
      </c>
      <c r="C77" s="6" t="n">
        <v>2</v>
      </c>
      <c r="D77" s="13" t="s">
        <v>199</v>
      </c>
      <c r="E77" s="14" t="s">
        <v>200</v>
      </c>
      <c r="F77" s="7" t="s">
        <v>56</v>
      </c>
      <c r="G77" s="14"/>
    </row>
    <row r="78" customFormat="false" ht="30" hidden="false" customHeight="true" outlineLevel="0" collapsed="false">
      <c r="A78" s="6" t="n">
        <v>58</v>
      </c>
      <c r="B78" s="6" t="s">
        <v>195</v>
      </c>
      <c r="C78" s="6" t="n">
        <v>3</v>
      </c>
      <c r="D78" s="13" t="s">
        <v>201</v>
      </c>
      <c r="E78" s="14" t="s">
        <v>202</v>
      </c>
      <c r="F78" s="7" t="s">
        <v>56</v>
      </c>
      <c r="G78" s="14"/>
    </row>
    <row r="79" customFormat="false" ht="18" hidden="false" customHeight="true" outlineLevel="0" collapsed="false">
      <c r="A79" s="11" t="s">
        <v>203</v>
      </c>
      <c r="B79" s="11" t="s">
        <v>204</v>
      </c>
      <c r="C79" s="12"/>
      <c r="D79" s="12"/>
      <c r="E79" s="12"/>
      <c r="F79" s="12"/>
      <c r="G79" s="12"/>
    </row>
    <row r="80" customFormat="false" ht="30" hidden="false" customHeight="true" outlineLevel="0" collapsed="false">
      <c r="A80" s="6" t="n">
        <v>59</v>
      </c>
      <c r="B80" s="6" t="s">
        <v>203</v>
      </c>
      <c r="C80" s="6" t="n">
        <v>1</v>
      </c>
      <c r="D80" s="13" t="s">
        <v>205</v>
      </c>
      <c r="E80" s="14" t="s">
        <v>206</v>
      </c>
      <c r="F80" s="7" t="s">
        <v>56</v>
      </c>
      <c r="G80" s="14"/>
    </row>
    <row r="81" customFormat="false" ht="30" hidden="false" customHeight="true" outlineLevel="0" collapsed="false">
      <c r="A81" s="6" t="n">
        <v>60</v>
      </c>
      <c r="B81" s="6" t="s">
        <v>203</v>
      </c>
      <c r="C81" s="6" t="n">
        <v>2</v>
      </c>
      <c r="D81" s="13" t="s">
        <v>207</v>
      </c>
      <c r="E81" s="14" t="s">
        <v>208</v>
      </c>
      <c r="F81" s="7" t="s">
        <v>105</v>
      </c>
      <c r="G81" s="14"/>
    </row>
    <row r="82" customFormat="false" ht="30" hidden="false" customHeight="true" outlineLevel="0" collapsed="false">
      <c r="A82" s="6" t="n">
        <v>61</v>
      </c>
      <c r="B82" s="6" t="s">
        <v>203</v>
      </c>
      <c r="C82" s="6" t="n">
        <v>3</v>
      </c>
      <c r="D82" s="13" t="s">
        <v>209</v>
      </c>
      <c r="E82" s="14" t="s">
        <v>210</v>
      </c>
      <c r="F82" s="7" t="s">
        <v>51</v>
      </c>
      <c r="G82" s="14"/>
    </row>
  </sheetData>
  <dataValidations count="1">
    <dataValidation allowBlank="true" errorStyle="stop" operator="between" showDropDown="false" showErrorMessage="false" showInputMessage="false" sqref="F3:F5 F7:F9 F11:F13 F15:F17 F19:F21 F23:F25 F27:F29 F31:F33 F35:F37 F39:F41 F43:F46 F48:F50 F52:F54 F56:F58 F60:F62 F64:F66 F68:F70 F72:F74 F76:F78 F80:F82" type="list">
      <formula1>"Y,N,Partial"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7" min="7" style="1" width="3"/>
    <col collapsed="false" customWidth="true" hidden="false" outlineLevel="0" max="8" min="8" style="1" width="10"/>
    <col collapsed="false" customWidth="true" hidden="false" outlineLevel="0" max="9" min="9" style="1" width="8"/>
  </cols>
  <sheetData>
    <row r="1" customFormat="false" ht="19.5" hidden="false" customHeight="true" outlineLevel="0" collapsed="false">
      <c r="A1" s="5" t="s">
        <v>40</v>
      </c>
      <c r="B1" s="5" t="s">
        <v>41</v>
      </c>
      <c r="C1" s="5" t="s">
        <v>211</v>
      </c>
      <c r="D1" s="5" t="s">
        <v>212</v>
      </c>
      <c r="E1" s="5" t="s">
        <v>213</v>
      </c>
      <c r="H1" s="5" t="s">
        <v>214</v>
      </c>
      <c r="I1" s="5" t="s">
        <v>215</v>
      </c>
    </row>
    <row r="2" customFormat="false" ht="18" hidden="false" customHeight="true" outlineLevel="0" collapsed="false">
      <c r="A2" s="6" t="n">
        <v>1</v>
      </c>
      <c r="B2" s="6" t="s">
        <v>216</v>
      </c>
      <c r="C2" s="7" t="s">
        <v>217</v>
      </c>
      <c r="D2" s="6" t="n">
        <f aca="false">IFERROR(INDEX($I$2:$I$6,MATCH(C2,$H$2:$H$6,0)),"")</f>
        <v>1</v>
      </c>
      <c r="E2" s="14" t="s">
        <v>218</v>
      </c>
      <c r="H2" s="15" t="s">
        <v>219</v>
      </c>
      <c r="I2" s="15" t="n">
        <v>0</v>
      </c>
    </row>
    <row r="3" customFormat="false" ht="18" hidden="false" customHeight="true" outlineLevel="0" collapsed="false">
      <c r="A3" s="6" t="n">
        <v>2</v>
      </c>
      <c r="B3" s="6" t="s">
        <v>220</v>
      </c>
      <c r="C3" s="7" t="s">
        <v>217</v>
      </c>
      <c r="D3" s="6" t="n">
        <f aca="false">IFERROR(INDEX($I$2:$I$6,MATCH(C3,$H$2:$H$6,0)),"")</f>
        <v>1</v>
      </c>
      <c r="E3" s="14" t="s">
        <v>221</v>
      </c>
      <c r="H3" s="15" t="s">
        <v>217</v>
      </c>
      <c r="I3" s="15" t="n">
        <v>1</v>
      </c>
    </row>
    <row r="4" customFormat="false" ht="18" hidden="false" customHeight="true" outlineLevel="0" collapsed="false">
      <c r="A4" s="6" t="n">
        <v>3</v>
      </c>
      <c r="B4" s="6" t="s">
        <v>222</v>
      </c>
      <c r="C4" s="7" t="s">
        <v>223</v>
      </c>
      <c r="D4" s="6" t="n">
        <f aca="false">IFERROR(INDEX($I$2:$I$6,MATCH(C4,$H$2:$H$6,0)),"")</f>
        <v>2</v>
      </c>
      <c r="E4" s="14" t="s">
        <v>224</v>
      </c>
      <c r="H4" s="15" t="s">
        <v>223</v>
      </c>
      <c r="I4" s="15" t="n">
        <v>2</v>
      </c>
    </row>
    <row r="5" customFormat="false" ht="18" hidden="false" customHeight="true" outlineLevel="0" collapsed="false">
      <c r="A5" s="6" t="n">
        <v>4</v>
      </c>
      <c r="B5" s="6" t="s">
        <v>225</v>
      </c>
      <c r="C5" s="7" t="s">
        <v>223</v>
      </c>
      <c r="D5" s="6" t="n">
        <f aca="false">IFERROR(INDEX($I$2:$I$6,MATCH(C5,$H$2:$H$6,0)),"")</f>
        <v>2</v>
      </c>
      <c r="E5" s="14" t="s">
        <v>226</v>
      </c>
      <c r="H5" s="15" t="s">
        <v>227</v>
      </c>
      <c r="I5" s="15" t="n">
        <v>3</v>
      </c>
    </row>
    <row r="6" customFormat="false" ht="18" hidden="false" customHeight="true" outlineLevel="0" collapsed="false">
      <c r="A6" s="6" t="n">
        <v>5</v>
      </c>
      <c r="B6" s="6" t="s">
        <v>228</v>
      </c>
      <c r="C6" s="7" t="s">
        <v>217</v>
      </c>
      <c r="D6" s="6" t="n">
        <f aca="false">IFERROR(INDEX($I$2:$I$6,MATCH(C6,$H$2:$H$6,0)),"")</f>
        <v>1</v>
      </c>
      <c r="E6" s="14" t="s">
        <v>229</v>
      </c>
      <c r="H6" s="15" t="s">
        <v>230</v>
      </c>
      <c r="I6" s="15" t="n">
        <v>4</v>
      </c>
    </row>
    <row r="7" customFormat="false" ht="18" hidden="false" customHeight="true" outlineLevel="0" collapsed="false">
      <c r="A7" s="6" t="n">
        <v>6</v>
      </c>
      <c r="B7" s="6" t="s">
        <v>231</v>
      </c>
      <c r="C7" s="7" t="s">
        <v>223</v>
      </c>
      <c r="D7" s="6" t="n">
        <f aca="false">IFERROR(INDEX($I$2:$I$6,MATCH(C7,$H$2:$H$6,0)),"")</f>
        <v>2</v>
      </c>
      <c r="E7" s="14" t="s">
        <v>232</v>
      </c>
    </row>
    <row r="8" customFormat="false" ht="18" hidden="false" customHeight="true" outlineLevel="0" collapsed="false">
      <c r="A8" s="6" t="n">
        <v>7</v>
      </c>
      <c r="B8" s="6" t="s">
        <v>233</v>
      </c>
      <c r="C8" s="7" t="s">
        <v>223</v>
      </c>
      <c r="D8" s="6" t="n">
        <f aca="false">IFERROR(INDEX($I$2:$I$6,MATCH(C8,$H$2:$H$6,0)),"")</f>
        <v>2</v>
      </c>
      <c r="E8" s="14" t="s">
        <v>234</v>
      </c>
    </row>
    <row r="9" customFormat="false" ht="18" hidden="false" customHeight="true" outlineLevel="0" collapsed="false">
      <c r="A9" s="6" t="n">
        <v>8</v>
      </c>
      <c r="B9" s="6" t="s">
        <v>235</v>
      </c>
      <c r="C9" s="7" t="s">
        <v>223</v>
      </c>
      <c r="D9" s="6" t="n">
        <f aca="false">IFERROR(INDEX($I$2:$I$6,MATCH(C9,$H$2:$H$6,0)),"")</f>
        <v>2</v>
      </c>
      <c r="E9" s="14" t="s">
        <v>236</v>
      </c>
    </row>
    <row r="10" customFormat="false" ht="18" hidden="false" customHeight="true" outlineLevel="0" collapsed="false">
      <c r="A10" s="6" t="n">
        <v>9</v>
      </c>
      <c r="B10" s="6" t="s">
        <v>237</v>
      </c>
      <c r="C10" s="7" t="s">
        <v>217</v>
      </c>
      <c r="D10" s="6" t="n">
        <f aca="false">IFERROR(INDEX($I$2:$I$6,MATCH(C10,$H$2:$H$6,0)),"")</f>
        <v>1</v>
      </c>
      <c r="E10" s="14" t="s">
        <v>238</v>
      </c>
    </row>
    <row r="11" customFormat="false" ht="18" hidden="false" customHeight="true" outlineLevel="0" collapsed="false">
      <c r="A11" s="6" t="n">
        <v>10</v>
      </c>
      <c r="B11" s="6" t="s">
        <v>239</v>
      </c>
      <c r="C11" s="7" t="s">
        <v>217</v>
      </c>
      <c r="D11" s="6" t="n">
        <f aca="false">IFERROR(INDEX($I$2:$I$6,MATCH(C11,$H$2:$H$6,0)),"")</f>
        <v>1</v>
      </c>
      <c r="E11" s="14" t="s">
        <v>240</v>
      </c>
    </row>
    <row r="12" customFormat="false" ht="18" hidden="false" customHeight="true" outlineLevel="0" collapsed="false">
      <c r="A12" s="6" t="n">
        <v>11</v>
      </c>
      <c r="B12" s="6" t="s">
        <v>241</v>
      </c>
      <c r="C12" s="7" t="s">
        <v>227</v>
      </c>
      <c r="D12" s="6" t="n">
        <f aca="false">IFERROR(INDEX($I$2:$I$6,MATCH(C12,$H$2:$H$6,0)),"")</f>
        <v>3</v>
      </c>
      <c r="E12" s="14" t="s">
        <v>242</v>
      </c>
    </row>
    <row r="13" customFormat="false" ht="18" hidden="false" customHeight="true" outlineLevel="0" collapsed="false">
      <c r="A13" s="6" t="n">
        <v>12</v>
      </c>
      <c r="B13" s="6" t="s">
        <v>243</v>
      </c>
      <c r="C13" s="7" t="s">
        <v>223</v>
      </c>
      <c r="D13" s="6" t="n">
        <f aca="false">IFERROR(INDEX($I$2:$I$6,MATCH(C13,$H$2:$H$6,0)),"")</f>
        <v>2</v>
      </c>
      <c r="E13" s="14" t="s">
        <v>244</v>
      </c>
    </row>
    <row r="14" customFormat="false" ht="18" hidden="false" customHeight="true" outlineLevel="0" collapsed="false">
      <c r="A14" s="6" t="n">
        <v>13</v>
      </c>
      <c r="B14" s="6" t="s">
        <v>245</v>
      </c>
      <c r="C14" s="7" t="s">
        <v>217</v>
      </c>
      <c r="D14" s="6" t="n">
        <f aca="false">IFERROR(INDEX($I$2:$I$6,MATCH(C14,$H$2:$H$6,0)),"")</f>
        <v>1</v>
      </c>
      <c r="E14" s="14" t="s">
        <v>246</v>
      </c>
    </row>
    <row r="15" customFormat="false" ht="18" hidden="false" customHeight="true" outlineLevel="0" collapsed="false">
      <c r="A15" s="6" t="n">
        <v>14</v>
      </c>
      <c r="B15" s="6" t="s">
        <v>247</v>
      </c>
      <c r="C15" s="7" t="s">
        <v>223</v>
      </c>
      <c r="D15" s="6" t="n">
        <f aca="false">IFERROR(INDEX($I$2:$I$6,MATCH(C15,$H$2:$H$6,0)),"")</f>
        <v>2</v>
      </c>
      <c r="E15" s="14" t="s">
        <v>248</v>
      </c>
    </row>
    <row r="16" customFormat="false" ht="18" hidden="false" customHeight="true" outlineLevel="0" collapsed="false">
      <c r="A16" s="6" t="n">
        <v>15</v>
      </c>
      <c r="B16" s="6" t="s">
        <v>249</v>
      </c>
      <c r="C16" s="7" t="s">
        <v>223</v>
      </c>
      <c r="D16" s="6" t="n">
        <f aca="false">IFERROR(INDEX($I$2:$I$6,MATCH(C16,$H$2:$H$6,0)),"")</f>
        <v>2</v>
      </c>
      <c r="E16" s="14" t="s">
        <v>250</v>
      </c>
    </row>
    <row r="17" customFormat="false" ht="18" hidden="false" customHeight="true" outlineLevel="0" collapsed="false">
      <c r="A17" s="6" t="n">
        <v>16</v>
      </c>
      <c r="B17" s="6" t="s">
        <v>251</v>
      </c>
      <c r="C17" s="7" t="s">
        <v>217</v>
      </c>
      <c r="D17" s="6" t="n">
        <f aca="false">IFERROR(INDEX($I$2:$I$6,MATCH(C17,$H$2:$H$6,0)),"")</f>
        <v>1</v>
      </c>
      <c r="E17" s="14" t="s">
        <v>252</v>
      </c>
    </row>
    <row r="18" customFormat="false" ht="18" hidden="false" customHeight="true" outlineLevel="0" collapsed="false">
      <c r="A18" s="6" t="n">
        <v>17</v>
      </c>
      <c r="B18" s="6" t="s">
        <v>253</v>
      </c>
      <c r="C18" s="7" t="s">
        <v>217</v>
      </c>
      <c r="D18" s="6" t="n">
        <f aca="false">IFERROR(INDEX($I$2:$I$6,MATCH(C18,$H$2:$H$6,0)),"")</f>
        <v>1</v>
      </c>
      <c r="E18" s="14" t="s">
        <v>254</v>
      </c>
    </row>
    <row r="19" customFormat="false" ht="18" hidden="false" customHeight="true" outlineLevel="0" collapsed="false">
      <c r="A19" s="6" t="n">
        <v>18</v>
      </c>
      <c r="B19" s="6" t="s">
        <v>255</v>
      </c>
      <c r="C19" s="7" t="s">
        <v>223</v>
      </c>
      <c r="D19" s="6" t="n">
        <f aca="false">IFERROR(INDEX($I$2:$I$6,MATCH(C19,$H$2:$H$6,0)),"")</f>
        <v>2</v>
      </c>
      <c r="E19" s="14" t="s">
        <v>256</v>
      </c>
    </row>
    <row r="20" customFormat="false" ht="18" hidden="false" customHeight="true" outlineLevel="0" collapsed="false">
      <c r="A20" s="6" t="n">
        <v>19</v>
      </c>
      <c r="B20" s="6" t="s">
        <v>257</v>
      </c>
      <c r="C20" s="7" t="s">
        <v>223</v>
      </c>
      <c r="D20" s="6" t="n">
        <f aca="false">IFERROR(INDEX($I$2:$I$6,MATCH(C20,$H$2:$H$6,0)),"")</f>
        <v>2</v>
      </c>
      <c r="E20" s="14" t="s">
        <v>258</v>
      </c>
    </row>
    <row r="21" customFormat="false" ht="18" hidden="false" customHeight="true" outlineLevel="0" collapsed="false">
      <c r="A21" s="6" t="n">
        <v>20</v>
      </c>
      <c r="B21" s="6" t="s">
        <v>259</v>
      </c>
      <c r="C21" s="7" t="s">
        <v>223</v>
      </c>
      <c r="D21" s="6" t="n">
        <f aca="false">IFERROR(INDEX($I$2:$I$6,MATCH(C21,$H$2:$H$6,0)),"")</f>
        <v>2</v>
      </c>
      <c r="E21" s="14" t="s">
        <v>260</v>
      </c>
    </row>
    <row r="23" customFormat="false" ht="15" hidden="false" customHeight="true" outlineLevel="0" collapsed="false">
      <c r="B23" s="16" t="s">
        <v>261</v>
      </c>
      <c r="D23" s="17" t="n">
        <f aca="false">IFERROR(MAX(D2:D21),"")</f>
        <v>3</v>
      </c>
    </row>
    <row r="24" customFormat="false" ht="15" hidden="false" customHeight="true" outlineLevel="0" collapsed="false">
      <c r="B24" s="16" t="s">
        <v>262</v>
      </c>
      <c r="D24" s="17" t="str">
        <f aca="false">IFERROR(INDEX($H$2:$H$6,MATCH(D23,$I$2:$I$6,0)),"Incomplete")</f>
        <v>High</v>
      </c>
    </row>
    <row r="25" customFormat="false" ht="30" hidden="false" customHeight="true" outlineLevel="0" collapsed="false">
      <c r="B25" s="16" t="s">
        <v>263</v>
      </c>
      <c r="D25" s="18" t="str">
        <f aca="false">IF(D23="","Incomplete -- score all sections",IF(D23=4,"Further Due Diligence Required (Critical) -- AI Governance Committee review mandatory; Rejected if unresolved",IF(D23=3,"Further Due Diligence Required -- AI Governance Committee review required before deployment",IF(D23=2,"Approved with Conditions -- documented follow-up items with owner and review date",IF(D23=1,"Approved -- standard procurement process applies","Incomplete -- score all sections")))))</f>
        <v>Further Due Diligence Required -- AI Governance Committee review required before deployment</v>
      </c>
      <c r="E25" s="18"/>
      <c r="F25" s="18"/>
    </row>
    <row r="27" customFormat="false" ht="45" hidden="false" customHeight="true" outlineLevel="0" collapsed="false">
      <c r="B27" s="19" t="s">
        <v>264</v>
      </c>
      <c r="C27" s="19"/>
      <c r="D27" s="19"/>
      <c r="E27" s="19"/>
    </row>
    <row r="28" customFormat="false" ht="60" hidden="false" customHeight="true" outlineLevel="0" collapsed="false">
      <c r="B28" s="20" t="s">
        <v>265</v>
      </c>
      <c r="C28" s="20"/>
      <c r="D28" s="20"/>
      <c r="E28" s="20"/>
    </row>
  </sheetData>
  <mergeCells count="3">
    <mergeCell ref="D25:F25"/>
    <mergeCell ref="B27:E27"/>
    <mergeCell ref="B28:E28"/>
  </mergeCells>
  <dataValidations count="1">
    <dataValidation allowBlank="true" errorStyle="stop" operator="between" showDropDown="false" showErrorMessage="false" showInputMessage="false" sqref="C2:C21" type="list">
      <formula1>"Critical,High,Medium,Low,N/A"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1" t="s">
        <v>266</v>
      </c>
    </row>
    <row r="2" customFormat="false" ht="30" hidden="false" customHeight="true" outlineLevel="0" collapsed="false">
      <c r="A2" s="20" t="s">
        <v>267</v>
      </c>
      <c r="B2" s="20"/>
      <c r="C2" s="20"/>
    </row>
    <row r="4" customFormat="false" ht="15" hidden="false" customHeight="true" outlineLevel="0" collapsed="false">
      <c r="A4" s="22" t="s">
        <v>40</v>
      </c>
      <c r="B4" s="22" t="s">
        <v>268</v>
      </c>
      <c r="C4" s="22" t="s">
        <v>269</v>
      </c>
    </row>
    <row r="5" customFormat="false" ht="30" hidden="false" customHeight="true" outlineLevel="0" collapsed="false">
      <c r="A5" s="6" t="n">
        <v>1</v>
      </c>
      <c r="B5" s="13" t="s">
        <v>270</v>
      </c>
      <c r="C5" s="7" t="s">
        <v>105</v>
      </c>
    </row>
    <row r="6" customFormat="false" ht="30" hidden="false" customHeight="true" outlineLevel="0" collapsed="false">
      <c r="A6" s="6" t="n">
        <v>2</v>
      </c>
      <c r="B6" s="13" t="s">
        <v>271</v>
      </c>
      <c r="C6" s="7" t="s">
        <v>105</v>
      </c>
    </row>
    <row r="7" customFormat="false" ht="30" hidden="false" customHeight="true" outlineLevel="0" collapsed="false">
      <c r="A7" s="6" t="n">
        <v>3</v>
      </c>
      <c r="B7" s="13" t="s">
        <v>272</v>
      </c>
      <c r="C7" s="7" t="s">
        <v>105</v>
      </c>
    </row>
    <row r="8" customFormat="false" ht="30" hidden="false" customHeight="true" outlineLevel="0" collapsed="false">
      <c r="A8" s="6" t="n">
        <v>4</v>
      </c>
      <c r="B8" s="13" t="s">
        <v>273</v>
      </c>
      <c r="C8" s="7" t="s">
        <v>105</v>
      </c>
    </row>
    <row r="9" customFormat="false" ht="30" hidden="false" customHeight="true" outlineLevel="0" collapsed="false">
      <c r="A9" s="6" t="n">
        <v>5</v>
      </c>
      <c r="B9" s="13" t="s">
        <v>274</v>
      </c>
      <c r="C9" s="7" t="s">
        <v>51</v>
      </c>
    </row>
    <row r="10" customFormat="false" ht="30" hidden="false" customHeight="true" outlineLevel="0" collapsed="false">
      <c r="A10" s="6" t="n">
        <v>6</v>
      </c>
      <c r="B10" s="13" t="s">
        <v>275</v>
      </c>
      <c r="C10" s="7" t="s">
        <v>105</v>
      </c>
    </row>
    <row r="11" customFormat="false" ht="30" hidden="false" customHeight="true" outlineLevel="0" collapsed="false">
      <c r="A11" s="6" t="n">
        <v>7</v>
      </c>
      <c r="B11" s="13" t="s">
        <v>276</v>
      </c>
      <c r="C11" s="7" t="s">
        <v>105</v>
      </c>
    </row>
    <row r="12" customFormat="false" ht="30" hidden="false" customHeight="true" outlineLevel="0" collapsed="false">
      <c r="A12" s="6" t="n">
        <v>8</v>
      </c>
      <c r="B12" s="13" t="s">
        <v>277</v>
      </c>
      <c r="C12" s="7" t="s">
        <v>105</v>
      </c>
    </row>
    <row r="13" customFormat="false" ht="30" hidden="false" customHeight="true" outlineLevel="0" collapsed="false">
      <c r="A13" s="6" t="n">
        <v>9</v>
      </c>
      <c r="B13" s="13" t="s">
        <v>278</v>
      </c>
      <c r="C13" s="7" t="s">
        <v>105</v>
      </c>
    </row>
    <row r="15" customFormat="false" ht="39.75" hidden="false" customHeight="true" outlineLevel="0" collapsed="false">
      <c r="A15" s="20" t="s">
        <v>279</v>
      </c>
      <c r="B15" s="20"/>
      <c r="C15" s="20"/>
    </row>
    <row r="17" customFormat="false" ht="15" hidden="false" customHeight="true" outlineLevel="0" collapsed="false">
      <c r="A17" s="23" t="s">
        <v>280</v>
      </c>
      <c r="C17" s="24" t="str">
        <f aca="false">IF(COUNTIF(C5:C13,"Y")&gt;0,"YES -- escalate to AI Governance Committee","No red flags recorded")</f>
        <v>YES -- escalate to AI Governance Committee</v>
      </c>
    </row>
  </sheetData>
  <mergeCells count="2">
    <mergeCell ref="A2:C2"/>
    <mergeCell ref="A15:C15"/>
  </mergeCells>
  <dataValidations count="1">
    <dataValidation allowBlank="true" errorStyle="stop" operator="between" showDropDown="false" showErrorMessage="false" showInputMessage="false" sqref="C5:C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2026-09-13T14:44:47Z</dcterms:created>
  <dc:creator>openpyxl</dc:creator>
  <dc:description/>
  <dc:language>en-US</dc:language>
  <cp:lastModifiedBy/>
  <dcterms:modified xsi:type="dcterms:W3CDTF">2026-09-16T06:01:20Z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